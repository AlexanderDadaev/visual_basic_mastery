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slicers/slicer3.xml" ContentType="application/vnd.ms-excel.slicer+xml"/>
  <Override PartName="/xl/drawings/drawing4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9.xml" ContentType="application/vnd.ms-excel.controlproperties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hidePivotFieldList="1" defaultThemeVersion="124226"/>
  <bookViews>
    <workbookView xWindow="240" yWindow="645" windowWidth="14805" windowHeight="7470" tabRatio="692"/>
  </bookViews>
  <sheets>
    <sheet name="Свод_план" sheetId="4" r:id="rId1"/>
    <sheet name="Свод_СУ" sheetId="5" r:id="rId2"/>
    <sheet name="Свод_метрика" sheetId="6" r:id="rId3"/>
    <sheet name="График_МАК_СУ" sheetId="12" r:id="rId4"/>
    <sheet name="График_Кураторы_СУ" sheetId="14" r:id="rId5"/>
    <sheet name="Источник" sheetId="1" state="hidden" r:id="rId6"/>
    <sheet name="Extra2" sheetId="13" state="hidden" r:id="rId7"/>
    <sheet name="Curators" sheetId="10" state="hidden" r:id="rId8"/>
    <sheet name="Dates_Lists" sheetId="9" state="hidden" r:id="rId9"/>
  </sheets>
  <definedNames>
    <definedName name="_AMO_UniqueIdentifier" localSheetId="6" hidden="1">"'ff240bb9-d707-4759-936b-a7bfb5842e55'"</definedName>
    <definedName name="_AMO_UniqueIdentifier" hidden="1">"'9a84b16c-e940-4d14-a292-531d1bbe775e'"</definedName>
    <definedName name="_xlnm._FilterDatabase" localSheetId="7" hidden="1">Curators!$A$1:$B$60</definedName>
    <definedName name="_xlnm._FilterDatabase" localSheetId="6" hidden="1">Extra2!$A$1:$D$366</definedName>
    <definedName name="_xlnm._FilterDatabase" localSheetId="4" hidden="1">График_Кураторы_СУ!$AE$1:$AH$8</definedName>
    <definedName name="_xlnm._FilterDatabase" localSheetId="3" hidden="1">График_МАК_СУ!$AI$1:$AL$61</definedName>
    <definedName name="_xlnm._FilterDatabase" localSheetId="2" hidden="1">Свод_метрика!$A$13:$T$314</definedName>
    <definedName name="_xlnm._FilterDatabase" localSheetId="0" hidden="1">Свод_план!$A$13:$T$313</definedName>
    <definedName name="_xlnm._FilterDatabase" localSheetId="1" hidden="1">Свод_СУ!$A$13:$T$313</definedName>
    <definedName name="date_from_list">Dates_Lists!$A$3:INDEX(Dates_Lists!$A:$A,MATCH("*",Dates_Lists!$A:$A,-1),1)</definedName>
    <definedName name="date_to_list">Dates_Lists!$B$3:INDEX(Dates_Lists!$B:$B,MATCH("*",Dates_Lists!$B:$B,-1),1)</definedName>
    <definedName name="Срез_CURATORS">#N/A</definedName>
    <definedName name="Срез_CURATORS1">#N/A</definedName>
    <definedName name="Срез_CURATORS2">#N/A</definedName>
    <definedName name="Срез_MAK">#N/A</definedName>
    <definedName name="Срез_MAK1">#N/A</definedName>
    <definedName name="Срез_MAK2">#N/A</definedName>
    <definedName name="Срез_MONTH">#N/A</definedName>
    <definedName name="Срез_MONTH1">#N/A</definedName>
    <definedName name="Срез_MONTH2">#N/A</definedName>
    <definedName name="Срез_QUARTER">#N/A</definedName>
    <definedName name="Срез_QUARTER1">#N/A</definedName>
    <definedName name="Срез_QUARTER2">#N/A</definedName>
    <definedName name="Срез_YEAR">#N/A</definedName>
    <definedName name="Срез_YEAR1">#N/A</definedName>
    <definedName name="Срез_YEAR2">#N/A</definedName>
  </definedNames>
  <calcPr calcId="145621"/>
  <pivotCaches>
    <pivotCache cacheId="99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367" i="13" l="1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AO62" i="1" l="1"/>
  <c r="AO63" i="1"/>
  <c r="AO64" i="1"/>
  <c r="AO65" i="1"/>
  <c r="AP62" i="1"/>
  <c r="AP63" i="1"/>
  <c r="AP64" i="1"/>
  <c r="AP65" i="1"/>
  <c r="AQ62" i="1"/>
  <c r="AQ63" i="1"/>
  <c r="AQ64" i="1"/>
  <c r="AQ65" i="1"/>
  <c r="AR62" i="1"/>
  <c r="AR63" i="1"/>
  <c r="AR64" i="1"/>
  <c r="AR65" i="1"/>
  <c r="AS62" i="1"/>
  <c r="AS63" i="1"/>
  <c r="AS64" i="1"/>
  <c r="AS65" i="1"/>
  <c r="AT62" i="1"/>
  <c r="AT63" i="1"/>
  <c r="AT64" i="1"/>
  <c r="AT65" i="1"/>
  <c r="AU62" i="1"/>
  <c r="AU63" i="1"/>
  <c r="AU64" i="1"/>
  <c r="AU65" i="1"/>
  <c r="AV62" i="1"/>
  <c r="AV63" i="1"/>
  <c r="AV64" i="1"/>
  <c r="AV65" i="1"/>
  <c r="AW62" i="1"/>
  <c r="AW63" i="1"/>
  <c r="AW64" i="1"/>
  <c r="AW65" i="1"/>
  <c r="AX62" i="1"/>
  <c r="AX63" i="1"/>
  <c r="AX64" i="1"/>
  <c r="AX65" i="1"/>
  <c r="AY62" i="1"/>
  <c r="AY63" i="1"/>
  <c r="AY64" i="1"/>
  <c r="AY65" i="1"/>
  <c r="AZ62" i="1"/>
  <c r="AZ63" i="1"/>
  <c r="AZ64" i="1"/>
  <c r="AZ65" i="1"/>
  <c r="BA62" i="1"/>
  <c r="BA63" i="1"/>
  <c r="BA64" i="1"/>
  <c r="BA65" i="1"/>
  <c r="BB62" i="1"/>
  <c r="BB63" i="1"/>
  <c r="BB64" i="1"/>
  <c r="BB65" i="1"/>
  <c r="BC62" i="1"/>
  <c r="BC63" i="1"/>
  <c r="BC64" i="1"/>
  <c r="BC65" i="1"/>
  <c r="BD62" i="1"/>
  <c r="BD63" i="1"/>
  <c r="BD64" i="1"/>
  <c r="BD65" i="1"/>
  <c r="BE62" i="1"/>
  <c r="BE63" i="1"/>
  <c r="BE64" i="1"/>
  <c r="BE65" i="1"/>
  <c r="BF62" i="1"/>
  <c r="BF63" i="1"/>
  <c r="BF64" i="1"/>
  <c r="BF65" i="1"/>
  <c r="BG62" i="1"/>
  <c r="BG63" i="1"/>
  <c r="BG64" i="1"/>
  <c r="BG65" i="1"/>
  <c r="BH62" i="1"/>
  <c r="BH63" i="1"/>
  <c r="BH64" i="1"/>
  <c r="BH65" i="1"/>
  <c r="BI62" i="1"/>
  <c r="BI63" i="1"/>
  <c r="BI64" i="1"/>
  <c r="BI65" i="1"/>
  <c r="BJ62" i="1"/>
  <c r="BJ63" i="1"/>
  <c r="BJ64" i="1"/>
  <c r="BJ65" i="1"/>
  <c r="BL62" i="1"/>
  <c r="BL63" i="1"/>
  <c r="BL64" i="1"/>
  <c r="BL65" i="1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" i="13"/>
  <c r="B3" i="13"/>
  <c r="D2" i="13"/>
  <c r="B2" i="13"/>
  <c r="C342" i="13" l="1"/>
  <c r="C367" i="13"/>
  <c r="C371" i="13"/>
  <c r="C375" i="13"/>
  <c r="C379" i="13"/>
  <c r="C383" i="13"/>
  <c r="C387" i="13"/>
  <c r="C391" i="13"/>
  <c r="C395" i="13"/>
  <c r="C368" i="13"/>
  <c r="C376" i="13"/>
  <c r="C380" i="13"/>
  <c r="C384" i="13"/>
  <c r="C392" i="13"/>
  <c r="C369" i="13"/>
  <c r="C377" i="13"/>
  <c r="C389" i="13"/>
  <c r="C397" i="13"/>
  <c r="C370" i="13"/>
  <c r="C374" i="13"/>
  <c r="C378" i="13"/>
  <c r="C382" i="13"/>
  <c r="C386" i="13"/>
  <c r="C390" i="13"/>
  <c r="C394" i="13"/>
  <c r="C372" i="13"/>
  <c r="C388" i="13"/>
  <c r="C396" i="13"/>
  <c r="C373" i="13"/>
  <c r="C381" i="13"/>
  <c r="C385" i="13"/>
  <c r="C393" i="13"/>
  <c r="C22" i="13"/>
  <c r="C15" i="13"/>
  <c r="C26" i="13"/>
  <c r="C2" i="13"/>
  <c r="C4" i="13"/>
  <c r="C8" i="13"/>
  <c r="C47" i="13"/>
  <c r="C36" i="13"/>
  <c r="C40" i="13"/>
  <c r="C12" i="13"/>
  <c r="C23" i="13"/>
  <c r="C30" i="13"/>
  <c r="C48" i="13"/>
  <c r="C60" i="13"/>
  <c r="C20" i="13"/>
  <c r="C42" i="13"/>
  <c r="C16" i="13"/>
  <c r="C34" i="13"/>
  <c r="C44" i="13"/>
  <c r="C56" i="13"/>
  <c r="C6" i="13"/>
  <c r="C10" i="13"/>
  <c r="C24" i="13"/>
  <c r="C31" i="13"/>
  <c r="C38" i="13"/>
  <c r="C7" i="13"/>
  <c r="C14" i="13"/>
  <c r="C18" i="13"/>
  <c r="C28" i="13"/>
  <c r="C32" i="13"/>
  <c r="C39" i="13"/>
  <c r="C46" i="13"/>
  <c r="C50" i="13"/>
  <c r="C54" i="13"/>
  <c r="C58" i="13"/>
  <c r="C62" i="13"/>
  <c r="C66" i="13"/>
  <c r="C70" i="13"/>
  <c r="C74" i="13"/>
  <c r="C78" i="13"/>
  <c r="C82" i="13"/>
  <c r="C86" i="13"/>
  <c r="C90" i="13"/>
  <c r="C94" i="13"/>
  <c r="C98" i="13"/>
  <c r="C102" i="13"/>
  <c r="C106" i="13"/>
  <c r="C110" i="13"/>
  <c r="C52" i="13"/>
  <c r="C55" i="13"/>
  <c r="C5" i="13"/>
  <c r="C13" i="13"/>
  <c r="C21" i="13"/>
  <c r="C29" i="13"/>
  <c r="C37" i="13"/>
  <c r="C45" i="13"/>
  <c r="C53" i="13"/>
  <c r="C19" i="13"/>
  <c r="C27" i="13"/>
  <c r="C35" i="13"/>
  <c r="C43" i="13"/>
  <c r="C51" i="13"/>
  <c r="C59" i="13"/>
  <c r="C64" i="13"/>
  <c r="C67" i="13"/>
  <c r="C72" i="13"/>
  <c r="C75" i="13"/>
  <c r="C80" i="13"/>
  <c r="C83" i="13"/>
  <c r="C88" i="13"/>
  <c r="C91" i="13"/>
  <c r="C96" i="13"/>
  <c r="C99" i="13"/>
  <c r="C104" i="13"/>
  <c r="C107" i="13"/>
  <c r="C112" i="13"/>
  <c r="C116" i="13"/>
  <c r="C120" i="13"/>
  <c r="C124" i="13"/>
  <c r="C128" i="13"/>
  <c r="C132" i="13"/>
  <c r="C136" i="13"/>
  <c r="C140" i="13"/>
  <c r="C144" i="13"/>
  <c r="C148" i="13"/>
  <c r="C152" i="13"/>
  <c r="C156" i="13"/>
  <c r="C160" i="13"/>
  <c r="C164" i="13"/>
  <c r="C168" i="13"/>
  <c r="C172" i="13"/>
  <c r="C176" i="13"/>
  <c r="C180" i="13"/>
  <c r="C184" i="13"/>
  <c r="C188" i="13"/>
  <c r="C192" i="13"/>
  <c r="C196" i="13"/>
  <c r="C202" i="13"/>
  <c r="C209" i="13"/>
  <c r="C212" i="13"/>
  <c r="C218" i="13"/>
  <c r="C225" i="13"/>
  <c r="C228" i="13"/>
  <c r="C234" i="13"/>
  <c r="C241" i="13"/>
  <c r="C244" i="13"/>
  <c r="C250" i="13"/>
  <c r="C257" i="13"/>
  <c r="C260" i="13"/>
  <c r="C266" i="13"/>
  <c r="C273" i="13"/>
  <c r="C276" i="13"/>
  <c r="C282" i="13"/>
  <c r="C289" i="13"/>
  <c r="C292" i="13"/>
  <c r="C298" i="13"/>
  <c r="C305" i="13"/>
  <c r="C308" i="13"/>
  <c r="C314" i="13"/>
  <c r="C321" i="13"/>
  <c r="C324" i="13"/>
  <c r="C330" i="13"/>
  <c r="C337" i="13"/>
  <c r="C340" i="13"/>
  <c r="C347" i="13"/>
  <c r="C3" i="13"/>
  <c r="C11" i="13"/>
  <c r="C9" i="13"/>
  <c r="C17" i="13"/>
  <c r="C25" i="13"/>
  <c r="C33" i="13"/>
  <c r="C41" i="13"/>
  <c r="C49" i="13"/>
  <c r="C57" i="13"/>
  <c r="C65" i="13"/>
  <c r="C73" i="13"/>
  <c r="C81" i="13"/>
  <c r="C89" i="13"/>
  <c r="C97" i="13"/>
  <c r="C105" i="13"/>
  <c r="C113" i="13"/>
  <c r="C117" i="13"/>
  <c r="C121" i="13"/>
  <c r="C125" i="13"/>
  <c r="C129" i="13"/>
  <c r="C133" i="13"/>
  <c r="C137" i="13"/>
  <c r="C141" i="13"/>
  <c r="C145" i="13"/>
  <c r="C149" i="13"/>
  <c r="C153" i="13"/>
  <c r="C157" i="13"/>
  <c r="C161" i="13"/>
  <c r="C165" i="13"/>
  <c r="C169" i="13"/>
  <c r="C173" i="13"/>
  <c r="C177" i="13"/>
  <c r="C181" i="13"/>
  <c r="C185" i="13"/>
  <c r="C189" i="13"/>
  <c r="C193" i="13"/>
  <c r="C197" i="13"/>
  <c r="C200" i="13"/>
  <c r="C206" i="13"/>
  <c r="C213" i="13"/>
  <c r="C216" i="13"/>
  <c r="C222" i="13"/>
  <c r="C229" i="13"/>
  <c r="C232" i="13"/>
  <c r="C238" i="13"/>
  <c r="C245" i="13"/>
  <c r="C248" i="13"/>
  <c r="C254" i="13"/>
  <c r="C261" i="13"/>
  <c r="C264" i="13"/>
  <c r="C270" i="13"/>
  <c r="C277" i="13"/>
  <c r="C280" i="13"/>
  <c r="C286" i="13"/>
  <c r="C293" i="13"/>
  <c r="C296" i="13"/>
  <c r="C302" i="13"/>
  <c r="C309" i="13"/>
  <c r="C312" i="13"/>
  <c r="C318" i="13"/>
  <c r="C325" i="13"/>
  <c r="C328" i="13"/>
  <c r="C334" i="13"/>
  <c r="C341" i="13"/>
  <c r="C344" i="13"/>
  <c r="C63" i="13"/>
  <c r="C68" i="13"/>
  <c r="C71" i="13"/>
  <c r="C76" i="13"/>
  <c r="C79" i="13"/>
  <c r="C84" i="13"/>
  <c r="C87" i="13"/>
  <c r="C92" i="13"/>
  <c r="C95" i="13"/>
  <c r="C100" i="13"/>
  <c r="C103" i="13"/>
  <c r="C108" i="13"/>
  <c r="C111" i="13"/>
  <c r="C114" i="13"/>
  <c r="C118" i="13"/>
  <c r="C122" i="13"/>
  <c r="C126" i="13"/>
  <c r="C130" i="13"/>
  <c r="C134" i="13"/>
  <c r="C138" i="13"/>
  <c r="C142" i="13"/>
  <c r="C146" i="13"/>
  <c r="C150" i="13"/>
  <c r="C154" i="13"/>
  <c r="C158" i="13"/>
  <c r="C162" i="13"/>
  <c r="C166" i="13"/>
  <c r="C170" i="13"/>
  <c r="C174" i="13"/>
  <c r="C178" i="13"/>
  <c r="C182" i="13"/>
  <c r="C186" i="13"/>
  <c r="C190" i="13"/>
  <c r="C194" i="13"/>
  <c r="C201" i="13"/>
  <c r="C204" i="13"/>
  <c r="C210" i="13"/>
  <c r="C217" i="13"/>
  <c r="C220" i="13"/>
  <c r="C226" i="13"/>
  <c r="C233" i="13"/>
  <c r="C236" i="13"/>
  <c r="C242" i="13"/>
  <c r="C249" i="13"/>
  <c r="C252" i="13"/>
  <c r="C258" i="13"/>
  <c r="C265" i="13"/>
  <c r="C268" i="13"/>
  <c r="C274" i="13"/>
  <c r="C281" i="13"/>
  <c r="C284" i="13"/>
  <c r="C290" i="13"/>
  <c r="C297" i="13"/>
  <c r="C300" i="13"/>
  <c r="C306" i="13"/>
  <c r="C313" i="13"/>
  <c r="C316" i="13"/>
  <c r="C322" i="13"/>
  <c r="C329" i="13"/>
  <c r="C332" i="13"/>
  <c r="C338" i="13"/>
  <c r="C345" i="13"/>
  <c r="C349" i="13"/>
  <c r="C353" i="13"/>
  <c r="C357" i="13"/>
  <c r="C361" i="13"/>
  <c r="C365" i="13"/>
  <c r="C61" i="13"/>
  <c r="C69" i="13"/>
  <c r="C77" i="13"/>
  <c r="C85" i="13"/>
  <c r="C93" i="13"/>
  <c r="C101" i="13"/>
  <c r="C109" i="13"/>
  <c r="C115" i="13"/>
  <c r="C119" i="13"/>
  <c r="C123" i="13"/>
  <c r="C127" i="13"/>
  <c r="C131" i="13"/>
  <c r="C135" i="13"/>
  <c r="C139" i="13"/>
  <c r="C143" i="13"/>
  <c r="C147" i="13"/>
  <c r="C151" i="13"/>
  <c r="C155" i="13"/>
  <c r="C159" i="13"/>
  <c r="C163" i="13"/>
  <c r="C167" i="13"/>
  <c r="C171" i="13"/>
  <c r="C175" i="13"/>
  <c r="C179" i="13"/>
  <c r="C183" i="13"/>
  <c r="C187" i="13"/>
  <c r="C191" i="13"/>
  <c r="C195" i="13"/>
  <c r="C198" i="13"/>
  <c r="C205" i="13"/>
  <c r="C208" i="13"/>
  <c r="C214" i="13"/>
  <c r="C221" i="13"/>
  <c r="C224" i="13"/>
  <c r="C230" i="13"/>
  <c r="C237" i="13"/>
  <c r="C240" i="13"/>
  <c r="C246" i="13"/>
  <c r="C253" i="13"/>
  <c r="C256" i="13"/>
  <c r="C262" i="13"/>
  <c r="C269" i="13"/>
  <c r="C272" i="13"/>
  <c r="C278" i="13"/>
  <c r="C285" i="13"/>
  <c r="C288" i="13"/>
  <c r="C294" i="13"/>
  <c r="C301" i="13"/>
  <c r="C304" i="13"/>
  <c r="C310" i="13"/>
  <c r="C317" i="13"/>
  <c r="C320" i="13"/>
  <c r="C326" i="13"/>
  <c r="C333" i="13"/>
  <c r="C336" i="13"/>
  <c r="C351" i="13"/>
  <c r="C355" i="13"/>
  <c r="C359" i="13"/>
  <c r="C363" i="13"/>
  <c r="C203" i="13"/>
  <c r="C211" i="13"/>
  <c r="C219" i="13"/>
  <c r="C227" i="13"/>
  <c r="C235" i="13"/>
  <c r="C243" i="13"/>
  <c r="C251" i="13"/>
  <c r="C259" i="13"/>
  <c r="C267" i="13"/>
  <c r="C275" i="13"/>
  <c r="C283" i="13"/>
  <c r="C291" i="13"/>
  <c r="C299" i="13"/>
  <c r="C307" i="13"/>
  <c r="C315" i="13"/>
  <c r="C323" i="13"/>
  <c r="C331" i="13"/>
  <c r="C339" i="13"/>
  <c r="C348" i="13"/>
  <c r="C352" i="13"/>
  <c r="C356" i="13"/>
  <c r="C360" i="13"/>
  <c r="C364" i="13"/>
  <c r="C199" i="13"/>
  <c r="C207" i="13"/>
  <c r="C215" i="13"/>
  <c r="C223" i="13"/>
  <c r="C231" i="13"/>
  <c r="C239" i="13"/>
  <c r="C247" i="13"/>
  <c r="C255" i="13"/>
  <c r="C263" i="13"/>
  <c r="C271" i="13"/>
  <c r="C279" i="13"/>
  <c r="C287" i="13"/>
  <c r="C295" i="13"/>
  <c r="C303" i="13"/>
  <c r="C311" i="13"/>
  <c r="C319" i="13"/>
  <c r="C327" i="13"/>
  <c r="C335" i="13"/>
  <c r="C343" i="13"/>
  <c r="C346" i="13"/>
  <c r="C350" i="13"/>
  <c r="C354" i="13"/>
  <c r="C358" i="13"/>
  <c r="C362" i="13"/>
  <c r="C366" i="13"/>
  <c r="BK2" i="1" l="1"/>
  <c r="BK6" i="1"/>
  <c r="BK10" i="1"/>
  <c r="BK14" i="1"/>
  <c r="BK18" i="1"/>
  <c r="BK22" i="1"/>
  <c r="BK26" i="1"/>
  <c r="BK30" i="1"/>
  <c r="BK34" i="1"/>
  <c r="BK38" i="1"/>
  <c r="BK42" i="1"/>
  <c r="BK46" i="1"/>
  <c r="BK50" i="1"/>
  <c r="BK54" i="1"/>
  <c r="BK58" i="1"/>
  <c r="BK4" i="1"/>
  <c r="BK12" i="1"/>
  <c r="BK20" i="1"/>
  <c r="BK28" i="1"/>
  <c r="BK36" i="1"/>
  <c r="BK44" i="1"/>
  <c r="BK52" i="1"/>
  <c r="BK60" i="1"/>
  <c r="BK9" i="1"/>
  <c r="BK21" i="1"/>
  <c r="BK29" i="1"/>
  <c r="BK37" i="1"/>
  <c r="BK45" i="1"/>
  <c r="BK53" i="1"/>
  <c r="BK61" i="1"/>
  <c r="BK3" i="1"/>
  <c r="BK7" i="1"/>
  <c r="BK11" i="1"/>
  <c r="BK15" i="1"/>
  <c r="BK19" i="1"/>
  <c r="BK23" i="1"/>
  <c r="BK27" i="1"/>
  <c r="BK31" i="1"/>
  <c r="BK35" i="1"/>
  <c r="BK39" i="1"/>
  <c r="BK43" i="1"/>
  <c r="BK47" i="1"/>
  <c r="BK51" i="1"/>
  <c r="BK55" i="1"/>
  <c r="BK59" i="1"/>
  <c r="BK8" i="1"/>
  <c r="BK16" i="1"/>
  <c r="BK24" i="1"/>
  <c r="BK32" i="1"/>
  <c r="BK40" i="1"/>
  <c r="BK48" i="1"/>
  <c r="BK56" i="1"/>
  <c r="BK5" i="1"/>
  <c r="BK13" i="1"/>
  <c r="BK17" i="1"/>
  <c r="BK25" i="1"/>
  <c r="BK33" i="1"/>
  <c r="BK41" i="1"/>
  <c r="BK49" i="1"/>
  <c r="BK57" i="1"/>
  <c r="BK62" i="1"/>
  <c r="BK63" i="1"/>
  <c r="BK64" i="1"/>
  <c r="BK65" i="1"/>
  <c r="BJ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AP2" i="1" l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Q2" i="1" l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R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T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U2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W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X2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Y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Z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F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G2" i="1"/>
  <c r="BG3" i="1"/>
  <c r="BG4" i="1"/>
  <c r="BG5" i="1"/>
  <c r="BG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H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I2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L2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AF7" i="14" l="1"/>
  <c r="AG7" i="14" s="1"/>
  <c r="AF2" i="14"/>
  <c r="AG2" i="14" s="1"/>
  <c r="AF5" i="14"/>
  <c r="AG5" i="14" s="1"/>
  <c r="AF6" i="14"/>
  <c r="AG6" i="14" s="1"/>
  <c r="AF8" i="14"/>
  <c r="AG8" i="14" s="1"/>
  <c r="AF4" i="14"/>
  <c r="AG4" i="14" s="1"/>
  <c r="AF3" i="14"/>
  <c r="AG3" i="14" s="1"/>
  <c r="AJ14" i="12"/>
  <c r="AK14" i="12" s="1"/>
  <c r="AJ3" i="12"/>
  <c r="AK3" i="12" s="1"/>
  <c r="AJ44" i="12"/>
  <c r="AK44" i="12" s="1"/>
  <c r="AJ30" i="12"/>
  <c r="AK30" i="12" s="1"/>
  <c r="AJ4" i="12"/>
  <c r="AK4" i="12" s="1"/>
  <c r="AJ32" i="12"/>
  <c r="AK32" i="12" s="1"/>
  <c r="AJ35" i="12"/>
  <c r="AK35" i="12" s="1"/>
  <c r="AJ36" i="12"/>
  <c r="AK36" i="12" s="1"/>
  <c r="AJ51" i="12"/>
  <c r="AK51" i="12" s="1"/>
  <c r="AJ10" i="12"/>
  <c r="AK10" i="12" s="1"/>
  <c r="AJ58" i="12"/>
  <c r="AK58" i="12" s="1"/>
  <c r="AJ52" i="12"/>
  <c r="AK52" i="12" s="1"/>
  <c r="AJ24" i="12"/>
  <c r="AK24" i="12" s="1"/>
  <c r="AJ53" i="12"/>
  <c r="AK53" i="12" s="1"/>
  <c r="AJ31" i="12"/>
  <c r="AK31" i="12" s="1"/>
  <c r="AJ17" i="12"/>
  <c r="AK17" i="12" s="1"/>
  <c r="AJ8" i="12"/>
  <c r="AK8" i="12" s="1"/>
  <c r="AJ19" i="12"/>
  <c r="AK19" i="12" s="1"/>
  <c r="AJ20" i="12"/>
  <c r="AK20" i="12" s="1"/>
  <c r="AJ23" i="12"/>
  <c r="AK23" i="12" s="1"/>
  <c r="AJ16" i="12"/>
  <c r="AK16" i="12" s="1"/>
  <c r="AJ40" i="12"/>
  <c r="AK40" i="12" s="1"/>
  <c r="AJ34" i="12"/>
  <c r="AK34" i="12" s="1"/>
  <c r="AJ38" i="12"/>
  <c r="AK38" i="12" s="1"/>
  <c r="AJ9" i="12"/>
  <c r="AK9" i="12" s="1"/>
  <c r="AJ2" i="12"/>
  <c r="AK2" i="12" s="1"/>
  <c r="AJ15" i="12"/>
  <c r="AK15" i="12" s="1"/>
  <c r="AJ41" i="12"/>
  <c r="AK41" i="12" s="1"/>
  <c r="AJ28" i="12"/>
  <c r="AK28" i="12" s="1"/>
  <c r="AJ37" i="12"/>
  <c r="AK37" i="12" s="1"/>
  <c r="AJ26" i="12"/>
  <c r="AK26" i="12" s="1"/>
  <c r="AJ42" i="12"/>
  <c r="AK42" i="12" s="1"/>
  <c r="AJ6" i="12"/>
  <c r="AK6" i="12" s="1"/>
  <c r="AJ49" i="12"/>
  <c r="AK49" i="12" s="1"/>
  <c r="AJ7" i="12"/>
  <c r="AK7" i="12" s="1"/>
  <c r="AJ54" i="12"/>
  <c r="AK54" i="12" s="1"/>
  <c r="AJ22" i="12"/>
  <c r="AK22" i="12" s="1"/>
  <c r="AJ56" i="12"/>
  <c r="AK56" i="12" s="1"/>
  <c r="AJ25" i="12"/>
  <c r="AK25" i="12" s="1"/>
  <c r="AJ18" i="12"/>
  <c r="AK18" i="12" s="1"/>
  <c r="AJ12" i="12"/>
  <c r="AK12" i="12" s="1"/>
  <c r="AJ33" i="12"/>
  <c r="AK33" i="12" s="1"/>
  <c r="AJ59" i="12"/>
  <c r="AK59" i="12" s="1"/>
  <c r="AJ60" i="12"/>
  <c r="AK60" i="12" s="1"/>
  <c r="AJ21" i="12"/>
  <c r="AK21" i="12" s="1"/>
  <c r="AJ57" i="12"/>
  <c r="AK57" i="12" s="1"/>
  <c r="AJ27" i="12"/>
  <c r="AK27" i="12" s="1"/>
  <c r="AJ5" i="12"/>
  <c r="AK5" i="12" s="1"/>
  <c r="AJ46" i="12"/>
  <c r="AK46" i="12" s="1"/>
  <c r="AJ39" i="12"/>
  <c r="AK39" i="12" s="1"/>
  <c r="AJ13" i="12"/>
  <c r="AK13" i="12" s="1"/>
  <c r="AJ43" i="12"/>
  <c r="AK43" i="12" s="1"/>
  <c r="AJ45" i="12"/>
  <c r="AK45" i="12" s="1"/>
  <c r="AJ48" i="12"/>
  <c r="AK48" i="12" s="1"/>
  <c r="AJ29" i="12"/>
  <c r="AK29" i="12" s="1"/>
  <c r="AJ11" i="12"/>
  <c r="AK11" i="12" s="1"/>
  <c r="AJ55" i="12"/>
  <c r="AK55" i="12" s="1"/>
  <c r="AJ61" i="12"/>
  <c r="AK61" i="12" s="1"/>
  <c r="AJ50" i="12"/>
  <c r="AK50" i="12" s="1"/>
  <c r="AJ47" i="12"/>
  <c r="AK47" i="12" s="1"/>
  <c r="AH6" i="14" l="1"/>
  <c r="AL17" i="12"/>
  <c r="AL21" i="12"/>
  <c r="AL10" i="12"/>
  <c r="AL5" i="12"/>
  <c r="AL4" i="12"/>
  <c r="AL30" i="12"/>
  <c r="AL33" i="12"/>
  <c r="AL43" i="12"/>
  <c r="AL50" i="12"/>
  <c r="AL7" i="12"/>
  <c r="AL13" i="12"/>
  <c r="AL45" i="12"/>
  <c r="AL28" i="12"/>
  <c r="AL38" i="12"/>
  <c r="AL23" i="12"/>
  <c r="AL48" i="12"/>
  <c r="AL61" i="12"/>
  <c r="AL25" i="12"/>
  <c r="AL19" i="12"/>
  <c r="AL53" i="12"/>
  <c r="AL40" i="12"/>
  <c r="AL26" i="12"/>
  <c r="AL60" i="12"/>
  <c r="AL12" i="12"/>
  <c r="AL14" i="12"/>
  <c r="AL42" i="12"/>
  <c r="AL56" i="12"/>
  <c r="AL35" i="12"/>
  <c r="AL49" i="12"/>
  <c r="AL51" i="12"/>
  <c r="AL47" i="12"/>
  <c r="AL31" i="12"/>
  <c r="AL2" i="12"/>
  <c r="AL34" i="12"/>
  <c r="AL52" i="12"/>
  <c r="AL46" i="12"/>
  <c r="AL57" i="12"/>
  <c r="AL55" i="12"/>
  <c r="AL41" i="12"/>
  <c r="AL36" i="12"/>
  <c r="AL44" i="12"/>
  <c r="AL27" i="12"/>
  <c r="AL24" i="12"/>
  <c r="AL29" i="12"/>
  <c r="AL32" i="12"/>
  <c r="AL8" i="12"/>
  <c r="AL58" i="12"/>
  <c r="AL6" i="12"/>
  <c r="AL54" i="12"/>
  <c r="AL20" i="12"/>
  <c r="AL37" i="12"/>
  <c r="AL15" i="12"/>
  <c r="AL3" i="12"/>
  <c r="AL39" i="12"/>
  <c r="AL11" i="12"/>
  <c r="AL22" i="12"/>
  <c r="AL9" i="12"/>
  <c r="AL59" i="12"/>
  <c r="AL18" i="12"/>
  <c r="AL16" i="12"/>
  <c r="AH2" i="14" l="1"/>
  <c r="AH4" i="14"/>
  <c r="AH8" i="14"/>
  <c r="AH7" i="14"/>
  <c r="AH3" i="14"/>
  <c r="AH5" i="14"/>
</calcChain>
</file>

<file path=xl/comments1.xml><?xml version="1.0" encoding="utf-8"?>
<comments xmlns="http://schemas.openxmlformats.org/spreadsheetml/2006/main">
  <authors>
    <author>Дадаев Александр Тимурович</author>
  </authors>
  <commentList>
    <comment ref="BR1" authorId="0">
      <text>
        <r>
          <rPr>
            <b/>
            <sz val="9"/>
            <color indexed="81"/>
            <rFont val="Tahoma"/>
            <family val="2"/>
            <charset val="204"/>
          </rPr>
          <t>Дадаев Александр Тимурович:</t>
        </r>
        <r>
          <rPr>
            <sz val="9"/>
            <color indexed="81"/>
            <rFont val="Tahoma"/>
            <family val="2"/>
            <charset val="204"/>
          </rPr>
          <t xml:space="preserve">
Forecast coefficient</t>
        </r>
      </text>
    </comment>
  </commentList>
</comments>
</file>

<file path=xl/sharedStrings.xml><?xml version="1.0" encoding="utf-8"?>
<sst xmlns="http://schemas.openxmlformats.org/spreadsheetml/2006/main" count="523" uniqueCount="192">
  <si>
    <t>MAK</t>
  </si>
  <si>
    <t>ISPOL_PLANA_COUNT</t>
  </si>
  <si>
    <t>ISPOL_PLANA_SUM</t>
  </si>
  <si>
    <t>MEDIUM_CHECK</t>
  </si>
  <si>
    <t>Чебоксары</t>
  </si>
  <si>
    <t>Тверь</t>
  </si>
  <si>
    <t>Сыктывкар</t>
  </si>
  <si>
    <t>Краснодар</t>
  </si>
  <si>
    <t>Калуга</t>
  </si>
  <si>
    <t>Смоленск</t>
  </si>
  <si>
    <t>Новосибирск</t>
  </si>
  <si>
    <t>Красноярск</t>
  </si>
  <si>
    <t>Киров</t>
  </si>
  <si>
    <t>Ставрополь</t>
  </si>
  <si>
    <t>Нижний Новгород</t>
  </si>
  <si>
    <t>Ижевск</t>
  </si>
  <si>
    <t>Томск</t>
  </si>
  <si>
    <t>Сургут</t>
  </si>
  <si>
    <t>Йошкар-Ола</t>
  </si>
  <si>
    <t>Пермь</t>
  </si>
  <si>
    <t>Курск</t>
  </si>
  <si>
    <t>Липецк</t>
  </si>
  <si>
    <t>Кострома</t>
  </si>
  <si>
    <t>Владивосток</t>
  </si>
  <si>
    <t>Великий Новгород</t>
  </si>
  <si>
    <t>Москва</t>
  </si>
  <si>
    <t>Самара</t>
  </si>
  <si>
    <t>Тула</t>
  </si>
  <si>
    <t>Рязань</t>
  </si>
  <si>
    <t>Оренбург</t>
  </si>
  <si>
    <t>Челябинск</t>
  </si>
  <si>
    <t>Ростов-на-Дону</t>
  </si>
  <si>
    <t>Воронеж</t>
  </si>
  <si>
    <t>Иваново</t>
  </si>
  <si>
    <t>Петрозаводск</t>
  </si>
  <si>
    <t>Мурманск</t>
  </si>
  <si>
    <t>Белгород</t>
  </si>
  <si>
    <t>Владимир</t>
  </si>
  <si>
    <t>Саранск</t>
  </si>
  <si>
    <t>Ульяновск</t>
  </si>
  <si>
    <t>Тамбов</t>
  </si>
  <si>
    <t>Пенза</t>
  </si>
  <si>
    <t>Екатеринбург</t>
  </si>
  <si>
    <t>Волгоград</t>
  </si>
  <si>
    <t>Казань</t>
  </si>
  <si>
    <t>Кемерово</t>
  </si>
  <si>
    <t>Орел</t>
  </si>
  <si>
    <t>Тюмень</t>
  </si>
  <si>
    <t>Саратов</t>
  </si>
  <si>
    <t>Астрахань</t>
  </si>
  <si>
    <t>Курган</t>
  </si>
  <si>
    <t>Барнаул</t>
  </si>
  <si>
    <t>Калининград</t>
  </si>
  <si>
    <t>Брянск</t>
  </si>
  <si>
    <t>Иркутск</t>
  </si>
  <si>
    <t>Санкт-Петербург</t>
  </si>
  <si>
    <t>Хабаровск</t>
  </si>
  <si>
    <t>Тольятти</t>
  </si>
  <si>
    <t>Архангельск</t>
  </si>
  <si>
    <t>Череповец</t>
  </si>
  <si>
    <t>Омск</t>
  </si>
  <si>
    <t>Псков</t>
  </si>
  <si>
    <t>Уфа</t>
  </si>
  <si>
    <t>Ярославль</t>
  </si>
  <si>
    <t>TOTAL_COUNT_PLAN</t>
  </si>
  <si>
    <t>TOTAL_COUNT_FACT</t>
  </si>
  <si>
    <t>TOTAL_SUM_PLAN</t>
  </si>
  <si>
    <t>TOTAL_SUM_FACT</t>
  </si>
  <si>
    <t>FP_COUNT_PLAN</t>
  </si>
  <si>
    <t>FP_COUNT_FACT</t>
  </si>
  <si>
    <t>ISPOL_PLANA_FP</t>
  </si>
  <si>
    <t>neFP_COUNT_PLAN</t>
  </si>
  <si>
    <t>neFP_COUNT_FACT</t>
  </si>
  <si>
    <t>ISPOL_PLANA_neFP</t>
  </si>
  <si>
    <t>ASP_D_COUNT_PLAN</t>
  </si>
  <si>
    <t>ASP_D_COUNT_FACT</t>
  </si>
  <si>
    <t>ISPOL_PLANA_ASP_D</t>
  </si>
  <si>
    <t>C2C_COUNT_PLAN</t>
  </si>
  <si>
    <t>C2C_COUNT_FACT</t>
  </si>
  <si>
    <t>ISPOL_PLANA_C2C</t>
  </si>
  <si>
    <t>DATE_FROM</t>
  </si>
  <si>
    <t>DATE_TO</t>
  </si>
  <si>
    <t>Даты выдачи</t>
  </si>
  <si>
    <t>с</t>
  </si>
  <si>
    <t>по</t>
  </si>
  <si>
    <t>План (все сегменты), шт.</t>
  </si>
  <si>
    <t>Факт (все сегменты), шт.</t>
  </si>
  <si>
    <t>План (все сегменты), руб.</t>
  </si>
  <si>
    <t>Факт (все сегменты), руб.</t>
  </si>
  <si>
    <t>Исполнение плана по шт. (все сегменты), %</t>
  </si>
  <si>
    <t>Исполнение плана по руб. (все сегменты), %</t>
  </si>
  <si>
    <t>План (ФП), шт.</t>
  </si>
  <si>
    <t>Факт (ФП), шт.</t>
  </si>
  <si>
    <t>Исполнение плана по шт. (ФП), %</t>
  </si>
  <si>
    <t>План (неФП), шт.</t>
  </si>
  <si>
    <t>Факт (неФП), шт.</t>
  </si>
  <si>
    <t>Исполнение плана по шт. (неФП), %</t>
  </si>
  <si>
    <t>План (АСП_дилеры), шт.</t>
  </si>
  <si>
    <t>Факт (АСП_дилеры), шт.</t>
  </si>
  <si>
    <t>Исполнение плана по шт. (АСП_дилеры), %</t>
  </si>
  <si>
    <t>Факт (С2С), шт.</t>
  </si>
  <si>
    <t>MEDIUM_CHECK_weighted_value</t>
  </si>
  <si>
    <t>Общий итог</t>
  </si>
  <si>
    <t>YEAR</t>
  </si>
  <si>
    <t>MONTH</t>
  </si>
  <si>
    <t>Сред. взв. чек, руб.</t>
  </si>
  <si>
    <t>QUARTER</t>
  </si>
  <si>
    <t>VKASKO_PENET_SHT</t>
  </si>
  <si>
    <t>VKASKO_PENET_RUB</t>
  </si>
  <si>
    <t>MKASKO_PENET_SHT</t>
  </si>
  <si>
    <t>MKASKO_PENET_RUB</t>
  </si>
  <si>
    <t>SJ_PENET_SHT</t>
  </si>
  <si>
    <t>SJ_PENET_RUB</t>
  </si>
  <si>
    <t>DKASKO_PENET_SHT</t>
  </si>
  <si>
    <t>DKASKO_PENET_RUB</t>
  </si>
  <si>
    <t>RAMK_PENET_SHT</t>
  </si>
  <si>
    <t>RAMK_PENET_RUB</t>
  </si>
  <si>
    <t>AVL_PENET_SHT</t>
  </si>
  <si>
    <t>AVL_PENET_RUB</t>
  </si>
  <si>
    <t>Проник. ВКАСКО, шт., %</t>
  </si>
  <si>
    <t>Проник. ВКАСКО, руб., %</t>
  </si>
  <si>
    <t>Проник. МКАСКО, шт., %</t>
  </si>
  <si>
    <t>Проник. МКАСКО, руб., %</t>
  </si>
  <si>
    <t>Проник. СЖ, шт., %</t>
  </si>
  <si>
    <t>Проник. СЖ, руб., %</t>
  </si>
  <si>
    <t>Проник. ДКАСКО, шт., %</t>
  </si>
  <si>
    <t>Проник. ДКАСКО, руб., %</t>
  </si>
  <si>
    <t>Проник. РАМК, шт., %</t>
  </si>
  <si>
    <t>Проник. РАМК, руб., %</t>
  </si>
  <si>
    <t>Проник. АВЛ, шт., %</t>
  </si>
  <si>
    <t>SROKKRED</t>
  </si>
  <si>
    <t>STAVKAGP</t>
  </si>
  <si>
    <t>STAVKAGP_weighted_value</t>
  </si>
  <si>
    <t>SROKKRED_weighted_value</t>
  </si>
  <si>
    <t>Сред. взв. срок кредита</t>
  </si>
  <si>
    <t>Сред. взв. ставка % ГП</t>
  </si>
  <si>
    <t>VKASKO_PENET_SHT_weighted_value</t>
  </si>
  <si>
    <t>VKASKO_PENET_RUB_weighted_value</t>
  </si>
  <si>
    <t>MKASKO_PENET_SHT_weighted_value</t>
  </si>
  <si>
    <t>MKASKO_PENET_RUB_weighted_value</t>
  </si>
  <si>
    <t>SJ_PENET_SHT_weighted_value</t>
  </si>
  <si>
    <t>SJ_PENET_RUB_weighted_value</t>
  </si>
  <si>
    <t>DKASKO_PENET_SHT_weighted_value</t>
  </si>
  <si>
    <t>DKASKO_PENET_RUB_weighted_value</t>
  </si>
  <si>
    <t>RAMK_PENET_SHT_weighted_value</t>
  </si>
  <si>
    <t>RAMK_PENET_RUB_weighted_value</t>
  </si>
  <si>
    <t>AVL_PENET_SHT_weighted_value</t>
  </si>
  <si>
    <t>AVL_PENET_RUB_weighted_value</t>
  </si>
  <si>
    <t xml:space="preserve">Проник. АВЛ, руб., % </t>
  </si>
  <si>
    <t>Регион</t>
  </si>
  <si>
    <t>Новоекураторство2017</t>
  </si>
  <si>
    <t>Чаусов</t>
  </si>
  <si>
    <t>Кабдулин</t>
  </si>
  <si>
    <t>Швейцаров</t>
  </si>
  <si>
    <t>Капшук</t>
  </si>
  <si>
    <t>Иванов</t>
  </si>
  <si>
    <t>Кашин</t>
  </si>
  <si>
    <t>Романов</t>
  </si>
  <si>
    <t>CURATORS</t>
  </si>
  <si>
    <t>Период (месяц)</t>
  </si>
  <si>
    <t>AB_COUNT_PLAN</t>
  </si>
  <si>
    <t>AB_COUNT_FACT</t>
  </si>
  <si>
    <t>План (АБ), шт.</t>
  </si>
  <si>
    <t>Факт (АБ), шт.</t>
  </si>
  <si>
    <t xml:space="preserve">План (С2С), шт. </t>
  </si>
  <si>
    <t>Исполнение плана по шт. (C2C), %</t>
  </si>
  <si>
    <t>Исполнение плана по шт. (АБ), %</t>
  </si>
  <si>
    <t>SV_PV</t>
  </si>
  <si>
    <t>SV_PV_weighted_value</t>
  </si>
  <si>
    <t>Сред. взв. первонач. взнос</t>
  </si>
  <si>
    <t>Тотал проник СУ по шт, %</t>
  </si>
  <si>
    <t>Тотал проник СУ по шт по Банку, %</t>
  </si>
  <si>
    <t>VEHICLE_COST_RUR_AMT</t>
  </si>
  <si>
    <t>Куратор</t>
  </si>
  <si>
    <t>ASP_COUNT_PLAN</t>
  </si>
  <si>
    <t>ASP_COUNT_FACT</t>
  </si>
  <si>
    <t>План (АСП_тотал), шт.</t>
  </si>
  <si>
    <t>Факт (АСП_тотал), шт.</t>
  </si>
  <si>
    <t>Исполнение плана по шт. (АСП_тотал), %</t>
  </si>
  <si>
    <t>Единица</t>
  </si>
  <si>
    <t>Прогнозный_коэф</t>
  </si>
  <si>
    <t>Прогноз исп. плана по шт. (все сегменты), %</t>
  </si>
  <si>
    <t>Прогноз исп. плана по руб. (все сегменты), %</t>
  </si>
  <si>
    <t>Календарь_2017</t>
  </si>
  <si>
    <t>Флаг_конца_месяца</t>
  </si>
  <si>
    <t>Признак_закрытости_месяца</t>
  </si>
  <si>
    <t>Сегодня</t>
  </si>
  <si>
    <t>Благовещенск</t>
  </si>
  <si>
    <t>Чита</t>
  </si>
  <si>
    <t>Улан-Удэ</t>
  </si>
  <si>
    <t>(пусто)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</si>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</sst>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р_._-;\-* #,##0.00_р_._-;_-* &quot;-&quot;??_р_._-;_-@_-"/>
    <numFmt numFmtId="165" formatCode="0.0%"/>
    <numFmt numFmtId="166" formatCode="_-* #,##0_р_._-;\-* #,##0_р_._-;_-* &quot;-&quot;??_р_._-;_-@_-"/>
    <numFmt numFmtId="167" formatCode="0.0"/>
    <numFmt numFmtId="168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" fillId="0" borderId="0"/>
    <xf numFmtId="0" fontId="5" fillId="0" borderId="0"/>
    <xf numFmtId="0" fontId="2" fillId="7" borderId="4" applyNumberFormat="0" applyFont="0" applyAlignment="0" applyProtection="0"/>
  </cellStyleXfs>
  <cellXfs count="42">
    <xf numFmtId="0" fontId="0" fillId="0" borderId="0" xfId="0"/>
    <xf numFmtId="3" fontId="0" fillId="0" borderId="0" xfId="0" applyNumberFormat="1"/>
    <xf numFmtId="165" fontId="0" fillId="0" borderId="0" xfId="0" applyNumberFormat="1"/>
    <xf numFmtId="165" fontId="0" fillId="0" borderId="0" xfId="1" applyNumberFormat="1" applyFon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66" fontId="0" fillId="0" borderId="0" xfId="2" applyNumberFormat="1" applyFont="1"/>
    <xf numFmtId="14" fontId="0" fillId="0" borderId="1" xfId="0" applyNumberFormat="1" applyBorder="1"/>
    <xf numFmtId="0" fontId="6" fillId="2" borderId="1" xfId="0" applyFont="1" applyFill="1" applyBorder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0" fillId="0" borderId="0" xfId="0" applyNumberFormat="1"/>
    <xf numFmtId="0" fontId="0" fillId="3" borderId="0" xfId="0" applyFill="1" applyAlignment="1">
      <alignment horizontal="center" vertical="center" wrapText="1"/>
    </xf>
    <xf numFmtId="14" fontId="0" fillId="0" borderId="0" xfId="0" applyNumberFormat="1" applyBorder="1"/>
    <xf numFmtId="0" fontId="0" fillId="3" borderId="0" xfId="0" applyNumberFormat="1" applyFill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0" fillId="0" borderId="0" xfId="1" applyNumberFormat="1" applyFont="1" applyAlignment="1">
      <alignment horizontal="center" vertical="center" wrapText="1"/>
    </xf>
    <xf numFmtId="167" fontId="0" fillId="0" borderId="0" xfId="1" applyNumberFormat="1" applyFont="1"/>
    <xf numFmtId="168" fontId="0" fillId="0" borderId="0" xfId="0" applyNumberFormat="1"/>
    <xf numFmtId="14" fontId="0" fillId="0" borderId="0" xfId="0" applyNumberFormat="1" applyAlignment="1">
      <alignment horizontal="left"/>
    </xf>
    <xf numFmtId="0" fontId="8" fillId="0" borderId="0" xfId="0" applyFont="1"/>
    <xf numFmtId="14" fontId="8" fillId="0" borderId="0" xfId="0" applyNumberFormat="1" applyFont="1" applyAlignment="1">
      <alignment horizontal="left"/>
    </xf>
    <xf numFmtId="0" fontId="9" fillId="3" borderId="1" xfId="3" applyFont="1" applyFill="1" applyBorder="1" applyAlignment="1">
      <alignment horizontal="center"/>
    </xf>
    <xf numFmtId="0" fontId="4" fillId="0" borderId="0" xfId="3"/>
    <xf numFmtId="0" fontId="5" fillId="0" borderId="1" xfId="4" applyFill="1" applyBorder="1" applyAlignment="1">
      <alignment horizontal="left"/>
    </xf>
    <xf numFmtId="0" fontId="4" fillId="4" borderId="1" xfId="3" applyFill="1" applyBorder="1"/>
    <xf numFmtId="0" fontId="0" fillId="5" borderId="0" xfId="0" applyFill="1" applyAlignment="1">
      <alignment horizontal="center" vertical="center" wrapText="1"/>
    </xf>
    <xf numFmtId="9" fontId="0" fillId="0" borderId="0" xfId="1" applyNumberFormat="1" applyFont="1"/>
    <xf numFmtId="165" fontId="3" fillId="0" borderId="0" xfId="1" applyNumberFormat="1" applyFont="1"/>
    <xf numFmtId="167" fontId="3" fillId="0" borderId="0" xfId="1" applyNumberFormat="1" applyFont="1"/>
    <xf numFmtId="167" fontId="0" fillId="0" borderId="0" xfId="0" applyNumberFormat="1"/>
    <xf numFmtId="2" fontId="0" fillId="6" borderId="0" xfId="0" applyNumberFormat="1" applyFill="1"/>
    <xf numFmtId="4" fontId="0" fillId="0" borderId="0" xfId="0" applyNumberFormat="1"/>
    <xf numFmtId="0" fontId="0" fillId="0" borderId="0" xfId="0" applyNumberFormat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165" fontId="2" fillId="0" borderId="0" xfId="1" applyNumberFormat="1" applyFont="1"/>
    <xf numFmtId="167" fontId="2" fillId="0" borderId="0" xfId="1" applyNumberFormat="1" applyFont="1"/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8" borderId="5" xfId="0" applyFont="1" applyFill="1" applyBorder="1"/>
    <xf numFmtId="0" fontId="0" fillId="0" borderId="5" xfId="0" applyFont="1" applyBorder="1"/>
    <xf numFmtId="0" fontId="1" fillId="0" borderId="0" xfId="3" applyFont="1"/>
  </cellXfs>
  <cellStyles count="6">
    <cellStyle name="Обычный" xfId="0" builtinId="0"/>
    <cellStyle name="Обычный 2" xfId="3"/>
    <cellStyle name="Обычный 3" xfId="4"/>
    <cellStyle name="Примечание 2" xfId="5"/>
    <cellStyle name="Процентный" xfId="1" builtinId="5"/>
    <cellStyle name="Финансовый" xfId="2" builtinId="3"/>
  </cellStyles>
  <dxfs count="180">
    <dxf>
      <numFmt numFmtId="3" formatCode="#,##0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0" formatCode="General"/>
    </dxf>
    <dxf>
      <numFmt numFmtId="167" formatCode="0.0"/>
    </dxf>
    <dxf>
      <numFmt numFmtId="0" formatCode="General"/>
    </dxf>
    <dxf>
      <numFmt numFmtId="167" formatCode="0.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0.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0" formatCode="General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%"/>
    </dxf>
    <dxf>
      <numFmt numFmtId="165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9" formatCode="dd/mm/yyyy"/>
    </dxf>
    <dxf>
      <numFmt numFmtId="19" formatCode="dd/mm/yyyy"/>
    </dxf>
    <dxf>
      <alignment horizontal="center" vertical="center" textRotation="0" wrapText="1" indent="0" justifyLastLine="0" shrinkToFit="0" readingOrder="0"/>
    </dxf>
    <dxf>
      <numFmt numFmtId="165" formatCode="0.0%"/>
    </dxf>
    <dxf>
      <alignment horizontal="center" vertical="center" wrapText="1" readingOrder="0"/>
    </dxf>
    <dxf>
      <alignment horizontal="center" vertical="center" wrapText="1" readingOrder="0"/>
    </dxf>
    <dxf>
      <alignment horizontal="center" vertical="center" wrapText="1" readingOrder="0"/>
    </dxf>
    <dxf>
      <numFmt numFmtId="168" formatCode="#,##0.0"/>
    </dxf>
    <dxf>
      <numFmt numFmtId="168" formatCode="#,##0.0"/>
    </dxf>
    <dxf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numFmt numFmtId="3" formatCode="#,##0"/>
    </dxf>
    <dxf>
      <numFmt numFmtId="3" formatCode="#,##0"/>
    </dxf>
    <dxf>
      <alignment horizontal="center" vertical="center" wrapText="1" readingOrder="0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numFmt numFmtId="165" formatCode="0.0%"/>
    </dxf>
    <dxf>
      <alignment horizontal="center" vertical="center" wrapText="1" readingOrder="0"/>
    </dxf>
    <dxf>
      <alignment horizontal="center" vertical="center" wrapText="1" readingOrder="0"/>
    </dxf>
    <dxf>
      <alignment horizontal="center" vertical="center" wrapText="1" readingOrder="0"/>
    </dxf>
    <dxf>
      <alignment horizontal="center" vertical="center" wrapText="1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microsoft.com/office/2007/relationships/slicerCache" Target="slicerCaches/slicerCache15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07/relationships/slicerCache" Target="slicerCaches/slicerCache14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microsoft.com/office/2007/relationships/slicerCache" Target="slicerCaches/slicerCache13.xml"/><Relationship Id="rId28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microsoft.com/office/2007/relationships/slicerCache" Target="slicerCaches/slicerCache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Relationship Id="rId22" Type="http://schemas.microsoft.com/office/2007/relationships/slicerCache" Target="slicerCaches/slicerCache1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u="none" strike="noStrike" baseline="0">
                <a:effectLst/>
              </a:rPr>
              <a:t>Тотал проникновение СУ </a:t>
            </a:r>
            <a:r>
              <a:rPr lang="ru-RU"/>
              <a:t>(руб.), %</a:t>
            </a:r>
          </a:p>
        </c:rich>
      </c:tx>
      <c:layout>
        <c:manualLayout>
          <c:xMode val="edge"/>
          <c:yMode val="edge"/>
          <c:x val="0.76862314532965492"/>
          <c:y val="6.2528733368495487E-2"/>
        </c:manualLayout>
      </c:layout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График_МАК_СУ!$AK$1</c:f>
              <c:strCache>
                <c:ptCount val="1"/>
                <c:pt idx="0">
                  <c:v>Тотал проник СУ по шт, 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50000"/>
                    <a:satMod val="300000"/>
                  </a:schemeClr>
                </a:gs>
                <a:gs pos="35000">
                  <a:schemeClr val="accent3">
                    <a:tint val="37000"/>
                    <a:satMod val="300000"/>
                  </a:schemeClr>
                </a:gs>
                <a:gs pos="100000">
                  <a:schemeClr val="accent3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txPr>
              <a:bodyPr rot="0" vert="wordArtVert"/>
              <a:lstStyle/>
              <a:p>
                <a:pPr>
                  <a:defRPr/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График_МАК_СУ!$AI$2:$AI$61</c:f>
              <c:strCache>
                <c:ptCount val="60"/>
                <c:pt idx="0">
                  <c:v>Астрахань</c:v>
                </c:pt>
                <c:pt idx="1">
                  <c:v>Новосибирск</c:v>
                </c:pt>
                <c:pt idx="2">
                  <c:v>Архангельск</c:v>
                </c:pt>
                <c:pt idx="3">
                  <c:v>Чебоксары</c:v>
                </c:pt>
                <c:pt idx="4">
                  <c:v>Уфа</c:v>
                </c:pt>
                <c:pt idx="5">
                  <c:v>Саратов</c:v>
                </c:pt>
                <c:pt idx="6">
                  <c:v>Санкт-Петербург</c:v>
                </c:pt>
                <c:pt idx="7">
                  <c:v>Казань</c:v>
                </c:pt>
                <c:pt idx="8">
                  <c:v>Ростов-на-Дону</c:v>
                </c:pt>
                <c:pt idx="9">
                  <c:v>Кострома</c:v>
                </c:pt>
                <c:pt idx="10">
                  <c:v>Ставрополь</c:v>
                </c:pt>
                <c:pt idx="11">
                  <c:v>Великий Новгород</c:v>
                </c:pt>
                <c:pt idx="12">
                  <c:v>Курск</c:v>
                </c:pt>
                <c:pt idx="13">
                  <c:v>Нижний Новгород</c:v>
                </c:pt>
                <c:pt idx="14">
                  <c:v>Самара</c:v>
                </c:pt>
                <c:pt idx="15">
                  <c:v>Краснодар</c:v>
                </c:pt>
                <c:pt idx="16">
                  <c:v>Томск</c:v>
                </c:pt>
                <c:pt idx="17">
                  <c:v>Тула</c:v>
                </c:pt>
                <c:pt idx="18">
                  <c:v>Сургут</c:v>
                </c:pt>
                <c:pt idx="19">
                  <c:v>Омск</c:v>
                </c:pt>
                <c:pt idx="20">
                  <c:v>Оренбург</c:v>
                </c:pt>
                <c:pt idx="21">
                  <c:v>Иваново</c:v>
                </c:pt>
                <c:pt idx="22">
                  <c:v>Иркутск</c:v>
                </c:pt>
                <c:pt idx="23">
                  <c:v>Ижевск</c:v>
                </c:pt>
                <c:pt idx="24">
                  <c:v>Владимир</c:v>
                </c:pt>
                <c:pt idx="25">
                  <c:v>Челябинск</c:v>
                </c:pt>
                <c:pt idx="26">
                  <c:v>Кемерово</c:v>
                </c:pt>
                <c:pt idx="27">
                  <c:v>Орел</c:v>
                </c:pt>
                <c:pt idx="28">
                  <c:v>Петрозаводск</c:v>
                </c:pt>
                <c:pt idx="29">
                  <c:v>Ярославль</c:v>
                </c:pt>
                <c:pt idx="30">
                  <c:v>Тольятти</c:v>
                </c:pt>
                <c:pt idx="31">
                  <c:v>Псков</c:v>
                </c:pt>
                <c:pt idx="32">
                  <c:v>Калуга</c:v>
                </c:pt>
                <c:pt idx="33">
                  <c:v>Смоленск</c:v>
                </c:pt>
                <c:pt idx="34">
                  <c:v>Киров</c:v>
                </c:pt>
                <c:pt idx="35">
                  <c:v>Сыктывкар</c:v>
                </c:pt>
                <c:pt idx="36">
                  <c:v>Пермь</c:v>
                </c:pt>
                <c:pt idx="37">
                  <c:v>Пенза</c:v>
                </c:pt>
                <c:pt idx="38">
                  <c:v>Тюмень</c:v>
                </c:pt>
                <c:pt idx="39">
                  <c:v>Москва</c:v>
                </c:pt>
                <c:pt idx="40">
                  <c:v>Ульяновск</c:v>
                </c:pt>
                <c:pt idx="41">
                  <c:v>Воронеж</c:v>
                </c:pt>
                <c:pt idx="42">
                  <c:v>Калининград</c:v>
                </c:pt>
                <c:pt idx="43">
                  <c:v>Барнаул</c:v>
                </c:pt>
                <c:pt idx="44">
                  <c:v>Волгоград</c:v>
                </c:pt>
                <c:pt idx="45">
                  <c:v>Тверь</c:v>
                </c:pt>
                <c:pt idx="46">
                  <c:v>Йошкар-Ола</c:v>
                </c:pt>
                <c:pt idx="47">
                  <c:v>Липецк</c:v>
                </c:pt>
                <c:pt idx="48">
                  <c:v>Курган</c:v>
                </c:pt>
                <c:pt idx="49">
                  <c:v>Брянск</c:v>
                </c:pt>
                <c:pt idx="50">
                  <c:v>Рязань</c:v>
                </c:pt>
                <c:pt idx="51">
                  <c:v>Череповец</c:v>
                </c:pt>
                <c:pt idx="52">
                  <c:v>Красноярск</c:v>
                </c:pt>
                <c:pt idx="53">
                  <c:v>Владивосток</c:v>
                </c:pt>
                <c:pt idx="54">
                  <c:v>Тамбов</c:v>
                </c:pt>
                <c:pt idx="55">
                  <c:v>Екатеринбург</c:v>
                </c:pt>
                <c:pt idx="56">
                  <c:v>Саранск</c:v>
                </c:pt>
                <c:pt idx="57">
                  <c:v>Белгород</c:v>
                </c:pt>
                <c:pt idx="58">
                  <c:v>Мурманск</c:v>
                </c:pt>
                <c:pt idx="59">
                  <c:v>Хабаровск</c:v>
                </c:pt>
              </c:strCache>
            </c:strRef>
          </c:cat>
          <c:val>
            <c:numRef>
              <c:f>График_МАК_СУ!$AK$2:$AK$61</c:f>
              <c:numCache>
                <c:formatCode>0%</c:formatCode>
                <c:ptCount val="60"/>
                <c:pt idx="0">
                  <c:v>0.90715099999999993</c:v>
                </c:pt>
                <c:pt idx="1">
                  <c:v>0.89010999999999996</c:v>
                </c:pt>
                <c:pt idx="2">
                  <c:v>0.85167599999999999</c:v>
                </c:pt>
                <c:pt idx="3">
                  <c:v>0.84098200000000001</c:v>
                </c:pt>
                <c:pt idx="4">
                  <c:v>0.83591599999999999</c:v>
                </c:pt>
                <c:pt idx="5">
                  <c:v>0.83518799999999993</c:v>
                </c:pt>
                <c:pt idx="6">
                  <c:v>0.826264</c:v>
                </c:pt>
                <c:pt idx="7">
                  <c:v>0.82357999999999998</c:v>
                </c:pt>
                <c:pt idx="8">
                  <c:v>0.81977199999999995</c:v>
                </c:pt>
                <c:pt idx="9">
                  <c:v>0.80701800000000001</c:v>
                </c:pt>
                <c:pt idx="10">
                  <c:v>0.80698099999999995</c:v>
                </c:pt>
                <c:pt idx="11">
                  <c:v>0.79908499999999993</c:v>
                </c:pt>
                <c:pt idx="12">
                  <c:v>0.79778400000000005</c:v>
                </c:pt>
                <c:pt idx="13">
                  <c:v>0.79630800000000002</c:v>
                </c:pt>
                <c:pt idx="14">
                  <c:v>0.79011600000000004</c:v>
                </c:pt>
                <c:pt idx="15">
                  <c:v>0.78951000000000005</c:v>
                </c:pt>
                <c:pt idx="16">
                  <c:v>0.785578</c:v>
                </c:pt>
                <c:pt idx="17">
                  <c:v>0.78524700000000003</c:v>
                </c:pt>
                <c:pt idx="18">
                  <c:v>0.78397600000000001</c:v>
                </c:pt>
                <c:pt idx="19">
                  <c:v>0.78305800000000003</c:v>
                </c:pt>
                <c:pt idx="20">
                  <c:v>0.77197199999999999</c:v>
                </c:pt>
                <c:pt idx="21">
                  <c:v>0.77129200000000009</c:v>
                </c:pt>
                <c:pt idx="22">
                  <c:v>0.768424</c:v>
                </c:pt>
                <c:pt idx="23">
                  <c:v>0.76805599999999996</c:v>
                </c:pt>
                <c:pt idx="24">
                  <c:v>0.76792799999999994</c:v>
                </c:pt>
                <c:pt idx="25">
                  <c:v>0.75808699999999996</c:v>
                </c:pt>
                <c:pt idx="26">
                  <c:v>0.75722500000000004</c:v>
                </c:pt>
                <c:pt idx="27">
                  <c:v>0.75685400000000003</c:v>
                </c:pt>
                <c:pt idx="28">
                  <c:v>0.75518399999999997</c:v>
                </c:pt>
                <c:pt idx="29">
                  <c:v>0.75317699999999999</c:v>
                </c:pt>
                <c:pt idx="30">
                  <c:v>0.75097800000000003</c:v>
                </c:pt>
                <c:pt idx="31">
                  <c:v>0.74843199999999999</c:v>
                </c:pt>
                <c:pt idx="32">
                  <c:v>0.7422089999999999</c:v>
                </c:pt>
                <c:pt idx="33">
                  <c:v>0.74</c:v>
                </c:pt>
                <c:pt idx="34">
                  <c:v>0.73263400000000001</c:v>
                </c:pt>
                <c:pt idx="35">
                  <c:v>0.72989799999999994</c:v>
                </c:pt>
                <c:pt idx="36">
                  <c:v>0.72775599999999996</c:v>
                </c:pt>
                <c:pt idx="37">
                  <c:v>0.72612399999999999</c:v>
                </c:pt>
                <c:pt idx="38">
                  <c:v>0.72501599999999999</c:v>
                </c:pt>
                <c:pt idx="39">
                  <c:v>0.72417900000000002</c:v>
                </c:pt>
                <c:pt idx="40">
                  <c:v>0.71973799999999999</c:v>
                </c:pt>
                <c:pt idx="41">
                  <c:v>0.71770400000000001</c:v>
                </c:pt>
                <c:pt idx="42">
                  <c:v>0.71672999999999998</c:v>
                </c:pt>
                <c:pt idx="43">
                  <c:v>0.69984400000000002</c:v>
                </c:pt>
                <c:pt idx="44">
                  <c:v>0.69930099999999995</c:v>
                </c:pt>
                <c:pt idx="45">
                  <c:v>0.69844499999999998</c:v>
                </c:pt>
                <c:pt idx="46">
                  <c:v>0.69641799999999998</c:v>
                </c:pt>
                <c:pt idx="47">
                  <c:v>0.69202900000000001</c:v>
                </c:pt>
                <c:pt idx="48">
                  <c:v>0.688442</c:v>
                </c:pt>
                <c:pt idx="49">
                  <c:v>0.685168</c:v>
                </c:pt>
                <c:pt idx="50">
                  <c:v>0.68137500000000006</c:v>
                </c:pt>
                <c:pt idx="51">
                  <c:v>0.67359999999999998</c:v>
                </c:pt>
                <c:pt idx="52">
                  <c:v>0.67294100000000001</c:v>
                </c:pt>
                <c:pt idx="53">
                  <c:v>0.66931000000000007</c:v>
                </c:pt>
                <c:pt idx="54">
                  <c:v>0.65716600000000003</c:v>
                </c:pt>
                <c:pt idx="55">
                  <c:v>0.64684999999999993</c:v>
                </c:pt>
                <c:pt idx="56">
                  <c:v>0.62980800000000003</c:v>
                </c:pt>
                <c:pt idx="57">
                  <c:v>0.60446599999999995</c:v>
                </c:pt>
                <c:pt idx="58">
                  <c:v>0.51671600000000006</c:v>
                </c:pt>
                <c:pt idx="59">
                  <c:v>0.247222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4946560"/>
        <c:axId val="554936576"/>
      </c:barChart>
      <c:lineChart>
        <c:grouping val="standard"/>
        <c:varyColors val="0"/>
        <c:ser>
          <c:idx val="1"/>
          <c:order val="1"/>
          <c:tx>
            <c:strRef>
              <c:f>График_МАК_СУ!$AL$1</c:f>
              <c:strCache>
                <c:ptCount val="1"/>
                <c:pt idx="0">
                  <c:v>Тотал проник СУ по шт по Банку, %</c:v>
                </c:pt>
              </c:strCache>
            </c:strRef>
          </c:tx>
          <c:spPr>
            <a:ln>
              <a:solidFill>
                <a:srgbClr val="FF0000">
                  <a:alpha val="70000"/>
                </a:srgbClr>
              </a:solidFill>
              <a:prstDash val="sysDot"/>
            </a:ln>
          </c:spPr>
          <c:marker>
            <c:symbol val="none"/>
          </c:marker>
          <c:val>
            <c:numRef>
              <c:f>График_МАК_СУ!$AL$2:$AL$61</c:f>
              <c:numCache>
                <c:formatCode>0%</c:formatCode>
                <c:ptCount val="60"/>
                <c:pt idx="0">
                  <c:v>0.73906663333333322</c:v>
                </c:pt>
                <c:pt idx="1">
                  <c:v>0.73906663333333322</c:v>
                </c:pt>
                <c:pt idx="2">
                  <c:v>0.73906663333333322</c:v>
                </c:pt>
                <c:pt idx="3">
                  <c:v>0.73906663333333322</c:v>
                </c:pt>
                <c:pt idx="4">
                  <c:v>0.73906663333333322</c:v>
                </c:pt>
                <c:pt idx="5">
                  <c:v>0.73906663333333322</c:v>
                </c:pt>
                <c:pt idx="6">
                  <c:v>0.73906663333333322</c:v>
                </c:pt>
                <c:pt idx="7">
                  <c:v>0.73906663333333322</c:v>
                </c:pt>
                <c:pt idx="8">
                  <c:v>0.73906663333333322</c:v>
                </c:pt>
                <c:pt idx="9">
                  <c:v>0.73906663333333322</c:v>
                </c:pt>
                <c:pt idx="10">
                  <c:v>0.73906663333333322</c:v>
                </c:pt>
                <c:pt idx="11">
                  <c:v>0.73906663333333322</c:v>
                </c:pt>
                <c:pt idx="12">
                  <c:v>0.73906663333333322</c:v>
                </c:pt>
                <c:pt idx="13">
                  <c:v>0.73906663333333322</c:v>
                </c:pt>
                <c:pt idx="14">
                  <c:v>0.73906663333333322</c:v>
                </c:pt>
                <c:pt idx="15">
                  <c:v>0.73906663333333322</c:v>
                </c:pt>
                <c:pt idx="16">
                  <c:v>0.73906663333333322</c:v>
                </c:pt>
                <c:pt idx="17">
                  <c:v>0.73906663333333322</c:v>
                </c:pt>
                <c:pt idx="18">
                  <c:v>0.73906663333333322</c:v>
                </c:pt>
                <c:pt idx="19">
                  <c:v>0.73906663333333322</c:v>
                </c:pt>
                <c:pt idx="20">
                  <c:v>0.73906663333333322</c:v>
                </c:pt>
                <c:pt idx="21">
                  <c:v>0.73906663333333322</c:v>
                </c:pt>
                <c:pt idx="22">
                  <c:v>0.73906663333333322</c:v>
                </c:pt>
                <c:pt idx="23">
                  <c:v>0.73906663333333322</c:v>
                </c:pt>
                <c:pt idx="24">
                  <c:v>0.73906663333333322</c:v>
                </c:pt>
                <c:pt idx="25">
                  <c:v>0.73906663333333322</c:v>
                </c:pt>
                <c:pt idx="26">
                  <c:v>0.73906663333333322</c:v>
                </c:pt>
                <c:pt idx="27">
                  <c:v>0.73906663333333322</c:v>
                </c:pt>
                <c:pt idx="28">
                  <c:v>0.73906663333333322</c:v>
                </c:pt>
                <c:pt idx="29">
                  <c:v>0.73906663333333322</c:v>
                </c:pt>
                <c:pt idx="30">
                  <c:v>0.73906663333333322</c:v>
                </c:pt>
                <c:pt idx="31">
                  <c:v>0.73906663333333322</c:v>
                </c:pt>
                <c:pt idx="32">
                  <c:v>0.73906663333333322</c:v>
                </c:pt>
                <c:pt idx="33">
                  <c:v>0.73906663333333322</c:v>
                </c:pt>
                <c:pt idx="34">
                  <c:v>0.73906663333333322</c:v>
                </c:pt>
                <c:pt idx="35">
                  <c:v>0.73906663333333322</c:v>
                </c:pt>
                <c:pt idx="36">
                  <c:v>0.73906663333333322</c:v>
                </c:pt>
                <c:pt idx="37">
                  <c:v>0.73906663333333322</c:v>
                </c:pt>
                <c:pt idx="38">
                  <c:v>0.73906663333333322</c:v>
                </c:pt>
                <c:pt idx="39">
                  <c:v>0.73906663333333322</c:v>
                </c:pt>
                <c:pt idx="40">
                  <c:v>0.73906663333333322</c:v>
                </c:pt>
                <c:pt idx="41">
                  <c:v>0.73906663333333322</c:v>
                </c:pt>
                <c:pt idx="42">
                  <c:v>0.73906663333333322</c:v>
                </c:pt>
                <c:pt idx="43">
                  <c:v>0.73906663333333322</c:v>
                </c:pt>
                <c:pt idx="44">
                  <c:v>0.73906663333333322</c:v>
                </c:pt>
                <c:pt idx="45">
                  <c:v>0.73906663333333322</c:v>
                </c:pt>
                <c:pt idx="46">
                  <c:v>0.73906663333333322</c:v>
                </c:pt>
                <c:pt idx="47">
                  <c:v>0.73906663333333322</c:v>
                </c:pt>
                <c:pt idx="48">
                  <c:v>0.73906663333333322</c:v>
                </c:pt>
                <c:pt idx="49">
                  <c:v>0.73906663333333322</c:v>
                </c:pt>
                <c:pt idx="50">
                  <c:v>0.73906663333333322</c:v>
                </c:pt>
                <c:pt idx="51">
                  <c:v>0.73906663333333322</c:v>
                </c:pt>
                <c:pt idx="52">
                  <c:v>0.73906663333333322</c:v>
                </c:pt>
                <c:pt idx="53">
                  <c:v>0.73906663333333322</c:v>
                </c:pt>
                <c:pt idx="54">
                  <c:v>0.73906663333333322</c:v>
                </c:pt>
                <c:pt idx="55">
                  <c:v>0.73906663333333322</c:v>
                </c:pt>
                <c:pt idx="56">
                  <c:v>0.73906663333333322</c:v>
                </c:pt>
                <c:pt idx="57">
                  <c:v>0.73906663333333322</c:v>
                </c:pt>
                <c:pt idx="58">
                  <c:v>0.73906663333333322</c:v>
                </c:pt>
                <c:pt idx="59">
                  <c:v>0.73906663333333322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949632"/>
        <c:axId val="554948096"/>
      </c:lineChart>
      <c:valAx>
        <c:axId val="55493657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554946560"/>
        <c:crosses val="autoZero"/>
        <c:crossBetween val="between"/>
      </c:valAx>
      <c:catAx>
        <c:axId val="55494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554936576"/>
        <c:crosses val="autoZero"/>
        <c:auto val="1"/>
        <c:lblAlgn val="ctr"/>
        <c:lblOffset val="100"/>
        <c:noMultiLvlLbl val="0"/>
      </c:catAx>
      <c:valAx>
        <c:axId val="55494809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554949632"/>
        <c:crosses val="max"/>
        <c:crossBetween val="between"/>
      </c:valAx>
      <c:catAx>
        <c:axId val="55494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554948096"/>
        <c:crosses val="autoZero"/>
        <c:auto val="1"/>
        <c:lblAlgn val="ctr"/>
        <c:lblOffset val="100"/>
        <c:noMultiLvlLbl val="0"/>
      </c:catAx>
      <c:spPr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5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0.84049361278835877"/>
          <c:y val="0.13503293323560145"/>
          <c:w val="0.13729101294818133"/>
          <c:h val="9.4225139135663355E-2"/>
        </c:manualLayout>
      </c:layout>
      <c:overlay val="1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Тотал проникновение СУ (шт.), %</a:t>
            </a:r>
            <a:endParaRPr lang="ru-RU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График_Кураторы_СУ!$AG$1</c:f>
              <c:strCache>
                <c:ptCount val="1"/>
                <c:pt idx="0">
                  <c:v>Тотал проник СУ по шт, 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50000"/>
                    <a:satMod val="300000"/>
                  </a:schemeClr>
                </a:gs>
                <a:gs pos="35000">
                  <a:schemeClr val="accent3">
                    <a:tint val="37000"/>
                    <a:satMod val="300000"/>
                  </a:schemeClr>
                </a:gs>
                <a:gs pos="100000">
                  <a:schemeClr val="accent3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numFmt formatCode="0.0%" sourceLinked="0"/>
            <c:txPr>
              <a:bodyPr/>
              <a:lstStyle/>
              <a:p>
                <a:pPr>
                  <a:defRPr sz="1100" b="1"/>
                </a:pPr>
                <a:endParaRPr lang="ru-R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График_Кураторы_СУ!$AE$2:$AE$8</c:f>
              <c:strCache>
                <c:ptCount val="7"/>
                <c:pt idx="0">
                  <c:v>Кашин</c:v>
                </c:pt>
                <c:pt idx="1">
                  <c:v>Швейцаров</c:v>
                </c:pt>
                <c:pt idx="2">
                  <c:v>Кабдулин</c:v>
                </c:pt>
                <c:pt idx="3">
                  <c:v>Капшук</c:v>
                </c:pt>
                <c:pt idx="4">
                  <c:v>Чаусов</c:v>
                </c:pt>
                <c:pt idx="5">
                  <c:v>Романов</c:v>
                </c:pt>
                <c:pt idx="6">
                  <c:v>Иванов</c:v>
                </c:pt>
              </c:strCache>
            </c:strRef>
          </c:cat>
          <c:val>
            <c:numRef>
              <c:f>График_Кураторы_СУ!$AG$2:$AG$8</c:f>
              <c:numCache>
                <c:formatCode>General</c:formatCode>
                <c:ptCount val="7"/>
                <c:pt idx="0">
                  <c:v>0.77459033164194635</c:v>
                </c:pt>
                <c:pt idx="1">
                  <c:v>0.76193234888353945</c:v>
                </c:pt>
                <c:pt idx="2">
                  <c:v>0.75172012917918407</c:v>
                </c:pt>
                <c:pt idx="3">
                  <c:v>0.74071937428243406</c:v>
                </c:pt>
                <c:pt idx="4">
                  <c:v>0.73474553177363267</c:v>
                </c:pt>
                <c:pt idx="5">
                  <c:v>0.72356727622131489</c:v>
                </c:pt>
                <c:pt idx="6">
                  <c:v>0.70923529076498337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984448"/>
        <c:axId val="540985984"/>
      </c:barChart>
      <c:lineChart>
        <c:grouping val="standard"/>
        <c:varyColors val="0"/>
        <c:ser>
          <c:idx val="0"/>
          <c:order val="1"/>
          <c:tx>
            <c:strRef>
              <c:f>График_Кураторы_СУ!$AH$1</c:f>
              <c:strCache>
                <c:ptCount val="1"/>
                <c:pt idx="0">
                  <c:v>Тотал проник СУ по шт по Банку, %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График_Кураторы_СУ!$AE$2:$AE$8</c:f>
              <c:strCache>
                <c:ptCount val="7"/>
                <c:pt idx="0">
                  <c:v>Кашин</c:v>
                </c:pt>
                <c:pt idx="1">
                  <c:v>Швейцаров</c:v>
                </c:pt>
                <c:pt idx="2">
                  <c:v>Кабдулин</c:v>
                </c:pt>
                <c:pt idx="3">
                  <c:v>Капшук</c:v>
                </c:pt>
                <c:pt idx="4">
                  <c:v>Чаусов</c:v>
                </c:pt>
                <c:pt idx="5">
                  <c:v>Романов</c:v>
                </c:pt>
                <c:pt idx="6">
                  <c:v>Иванов</c:v>
                </c:pt>
              </c:strCache>
            </c:strRef>
          </c:cat>
          <c:val>
            <c:numRef>
              <c:f>График_Кураторы_СУ!$AH$2:$AH$8</c:f>
              <c:numCache>
                <c:formatCode>General</c:formatCode>
                <c:ptCount val="7"/>
                <c:pt idx="0">
                  <c:v>0.74235861182100493</c:v>
                </c:pt>
                <c:pt idx="1">
                  <c:v>0.74235861182100493</c:v>
                </c:pt>
                <c:pt idx="2">
                  <c:v>0.74235861182100493</c:v>
                </c:pt>
                <c:pt idx="3">
                  <c:v>0.74235861182100493</c:v>
                </c:pt>
                <c:pt idx="4">
                  <c:v>0.74235861182100493</c:v>
                </c:pt>
                <c:pt idx="5">
                  <c:v>0.74235861182100493</c:v>
                </c:pt>
                <c:pt idx="6">
                  <c:v>0.74235861182100493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984448"/>
        <c:axId val="540985984"/>
      </c:lineChart>
      <c:catAx>
        <c:axId val="5409844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ru-RU"/>
          </a:p>
        </c:txPr>
        <c:crossAx val="540985984"/>
        <c:crosses val="autoZero"/>
        <c:auto val="1"/>
        <c:lblAlgn val="ctr"/>
        <c:lblOffset val="100"/>
        <c:noMultiLvlLbl val="0"/>
      </c:catAx>
      <c:valAx>
        <c:axId val="54098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ru-RU"/>
          </a:p>
        </c:txPr>
        <c:crossAx val="540984448"/>
        <c:crosses val="autoZero"/>
        <c:crossBetween val="between"/>
      </c:valAx>
      <c:spPr>
        <a:gradFill rotWithShape="1">
          <a:gsLst>
            <a:gs pos="0">
              <a:schemeClr val="accent4">
                <a:tint val="50000"/>
                <a:satMod val="300000"/>
              </a:schemeClr>
            </a:gs>
            <a:gs pos="35000">
              <a:schemeClr val="accent4">
                <a:tint val="37000"/>
                <a:satMod val="300000"/>
              </a:schemeClr>
            </a:gs>
            <a:gs pos="100000">
              <a:schemeClr val="accent4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4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>
        <c:manualLayout>
          <c:xMode val="edge"/>
          <c:yMode val="edge"/>
          <c:x val="0.7396122082742983"/>
          <c:y val="8.8116512300467596E-3"/>
          <c:w val="0.23503357636779504"/>
          <c:h val="0.12635003371215842"/>
        </c:manualLayout>
      </c:layout>
      <c:overlay val="1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593912</xdr:colOff>
      <xdr:row>0</xdr:row>
      <xdr:rowOff>0</xdr:rowOff>
    </xdr:from>
    <xdr:to>
      <xdr:col>18</xdr:col>
      <xdr:colOff>750794</xdr:colOff>
      <xdr:row>10</xdr:row>
      <xdr:rowOff>173131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K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59206" y="0"/>
              <a:ext cx="12214412" cy="20781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3362</xdr:colOff>
      <xdr:row>5</xdr:row>
      <xdr:rowOff>156881</xdr:rowOff>
    </xdr:from>
    <xdr:to>
      <xdr:col>2</xdr:col>
      <xdr:colOff>56030</xdr:colOff>
      <xdr:row>10</xdr:row>
      <xdr:rowOff>165610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62" y="702611"/>
              <a:ext cx="1755962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112620</xdr:colOff>
      <xdr:row>0</xdr:row>
      <xdr:rowOff>10085</xdr:rowOff>
    </xdr:from>
    <xdr:to>
      <xdr:col>3</xdr:col>
      <xdr:colOff>538620</xdr:colOff>
      <xdr:row>10</xdr:row>
      <xdr:rowOff>179295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QUARTE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5914" y="10085"/>
              <a:ext cx="1188000" cy="207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8</xdr:row>
          <xdr:rowOff>104775</xdr:rowOff>
        </xdr:from>
        <xdr:to>
          <xdr:col>20</xdr:col>
          <xdr:colOff>495300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МАК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542925</xdr:colOff>
          <xdr:row>8</xdr:row>
          <xdr:rowOff>104775</xdr:rowOff>
        </xdr:from>
        <xdr:to>
          <xdr:col>22</xdr:col>
          <xdr:colOff>247650</xdr:colOff>
          <xdr:row>10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МАК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258296</xdr:colOff>
      <xdr:row>0</xdr:row>
      <xdr:rowOff>0</xdr:rowOff>
    </xdr:from>
    <xdr:to>
      <xdr:col>22</xdr:col>
      <xdr:colOff>268940</xdr:colOff>
      <xdr:row>8</xdr:row>
      <xdr:rowOff>33618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ATOR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ATOR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1414" y="0"/>
              <a:ext cx="1982879" cy="15576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425823</xdr:colOff>
      <xdr:row>0</xdr:row>
      <xdr:rowOff>11206</xdr:rowOff>
    </xdr:from>
    <xdr:to>
      <xdr:col>1</xdr:col>
      <xdr:colOff>190500</xdr:colOff>
      <xdr:row>1</xdr:row>
      <xdr:rowOff>11206</xdr:rowOff>
    </xdr:to>
    <xdr:sp macro="" textlink="">
      <xdr:nvSpPr>
        <xdr:cNvPr id="7" name="TextBox 6"/>
        <xdr:cNvSpPr txBox="1"/>
      </xdr:nvSpPr>
      <xdr:spPr>
        <a:xfrm>
          <a:off x="425823" y="11206"/>
          <a:ext cx="616324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(Год)</a:t>
          </a:r>
        </a:p>
      </xdr:txBody>
    </xdr:sp>
    <xdr:clientData/>
  </xdr:twoCellAnchor>
  <xdr:twoCellAnchor>
    <xdr:from>
      <xdr:col>0</xdr:col>
      <xdr:colOff>571500</xdr:colOff>
      <xdr:row>3</xdr:row>
      <xdr:rowOff>156883</xdr:rowOff>
    </xdr:from>
    <xdr:to>
      <xdr:col>1</xdr:col>
      <xdr:colOff>493059</xdr:colOff>
      <xdr:row>4</xdr:row>
      <xdr:rowOff>156883</xdr:rowOff>
    </xdr:to>
    <xdr:sp macro="" textlink="">
      <xdr:nvSpPr>
        <xdr:cNvPr id="10" name="TextBox 9"/>
        <xdr:cNvSpPr txBox="1"/>
      </xdr:nvSpPr>
      <xdr:spPr>
        <a:xfrm>
          <a:off x="571500" y="728383"/>
          <a:ext cx="773206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(Месяц)</a:t>
          </a:r>
        </a:p>
      </xdr:txBody>
    </xdr:sp>
    <xdr:clientData/>
  </xdr:twoCellAnchor>
  <xdr:twoCellAnchor>
    <xdr:from>
      <xdr:col>20</xdr:col>
      <xdr:colOff>235324</xdr:colOff>
      <xdr:row>0</xdr:row>
      <xdr:rowOff>11206</xdr:rowOff>
    </xdr:from>
    <xdr:to>
      <xdr:col>21</xdr:col>
      <xdr:colOff>571501</xdr:colOff>
      <xdr:row>1</xdr:row>
      <xdr:rowOff>44824</xdr:rowOff>
    </xdr:to>
    <xdr:sp macro="" textlink="">
      <xdr:nvSpPr>
        <xdr:cNvPr id="11" name="TextBox 10"/>
        <xdr:cNvSpPr txBox="1"/>
      </xdr:nvSpPr>
      <xdr:spPr>
        <a:xfrm>
          <a:off x="16080442" y="11206"/>
          <a:ext cx="941294" cy="224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(Кураторы)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314325</xdr:colOff>
          <xdr:row>10</xdr:row>
          <xdr:rowOff>123825</xdr:rowOff>
        </xdr:from>
        <xdr:to>
          <xdr:col>22</xdr:col>
          <xdr:colOff>152400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 coef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22972</xdr:colOff>
      <xdr:row>0</xdr:row>
      <xdr:rowOff>9525</xdr:rowOff>
    </xdr:from>
    <xdr:to>
      <xdr:col>2</xdr:col>
      <xdr:colOff>134471</xdr:colOff>
      <xdr:row>4</xdr:row>
      <xdr:rowOff>156882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YEA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972" y="9525"/>
              <a:ext cx="1814793" cy="9093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67235</xdr:colOff>
      <xdr:row>0</xdr:row>
      <xdr:rowOff>6163</xdr:rowOff>
    </xdr:from>
    <xdr:to>
      <xdr:col>15</xdr:col>
      <xdr:colOff>22412</xdr:colOff>
      <xdr:row>10</xdr:row>
      <xdr:rowOff>179294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K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1970" y="6163"/>
              <a:ext cx="13930357" cy="20781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2226</xdr:rowOff>
    </xdr:from>
    <xdr:to>
      <xdr:col>2</xdr:col>
      <xdr:colOff>67235</xdr:colOff>
      <xdr:row>3</xdr:row>
      <xdr:rowOff>112059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YEA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26"/>
              <a:ext cx="1770529" cy="681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3362</xdr:colOff>
      <xdr:row>3</xdr:row>
      <xdr:rowOff>131111</xdr:rowOff>
    </xdr:from>
    <xdr:to>
      <xdr:col>2</xdr:col>
      <xdr:colOff>56030</xdr:colOff>
      <xdr:row>10</xdr:row>
      <xdr:rowOff>165611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62" y="702611"/>
              <a:ext cx="1755962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79002</xdr:colOff>
      <xdr:row>0</xdr:row>
      <xdr:rowOff>10085</xdr:rowOff>
    </xdr:from>
    <xdr:to>
      <xdr:col>3</xdr:col>
      <xdr:colOff>45561</xdr:colOff>
      <xdr:row>10</xdr:row>
      <xdr:rowOff>179295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QUARTE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2296" y="10085"/>
              <a:ext cx="1188000" cy="207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11</xdr:row>
          <xdr:rowOff>66675</xdr:rowOff>
        </xdr:from>
        <xdr:to>
          <xdr:col>16</xdr:col>
          <xdr:colOff>628650</xdr:colOff>
          <xdr:row>12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МАК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200025</xdr:colOff>
          <xdr:row>12</xdr:row>
          <xdr:rowOff>219075</xdr:rowOff>
        </xdr:from>
        <xdr:to>
          <xdr:col>16</xdr:col>
          <xdr:colOff>628650</xdr:colOff>
          <xdr:row>12</xdr:row>
          <xdr:rowOff>523875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МАК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90206</xdr:colOff>
      <xdr:row>0</xdr:row>
      <xdr:rowOff>0</xdr:rowOff>
    </xdr:from>
    <xdr:to>
      <xdr:col>17</xdr:col>
      <xdr:colOff>425823</xdr:colOff>
      <xdr:row>10</xdr:row>
      <xdr:rowOff>183000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ATOR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ATOR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51766" y="0"/>
              <a:ext cx="1828800" cy="20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470648</xdr:colOff>
      <xdr:row>0</xdr:row>
      <xdr:rowOff>33618</xdr:rowOff>
    </xdr:from>
    <xdr:to>
      <xdr:col>1</xdr:col>
      <xdr:colOff>235325</xdr:colOff>
      <xdr:row>1</xdr:row>
      <xdr:rowOff>33618</xdr:rowOff>
    </xdr:to>
    <xdr:sp macro="" textlink="">
      <xdr:nvSpPr>
        <xdr:cNvPr id="9" name="TextBox 8"/>
        <xdr:cNvSpPr txBox="1"/>
      </xdr:nvSpPr>
      <xdr:spPr>
        <a:xfrm>
          <a:off x="470648" y="33618"/>
          <a:ext cx="616324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(Год)</a:t>
          </a:r>
        </a:p>
      </xdr:txBody>
    </xdr:sp>
    <xdr:clientData/>
  </xdr:twoCellAnchor>
  <xdr:twoCellAnchor>
    <xdr:from>
      <xdr:col>0</xdr:col>
      <xdr:colOff>593913</xdr:colOff>
      <xdr:row>3</xdr:row>
      <xdr:rowOff>168088</xdr:rowOff>
    </xdr:from>
    <xdr:to>
      <xdr:col>1</xdr:col>
      <xdr:colOff>515472</xdr:colOff>
      <xdr:row>4</xdr:row>
      <xdr:rowOff>168088</xdr:rowOff>
    </xdr:to>
    <xdr:sp macro="" textlink="">
      <xdr:nvSpPr>
        <xdr:cNvPr id="10" name="TextBox 9"/>
        <xdr:cNvSpPr txBox="1"/>
      </xdr:nvSpPr>
      <xdr:spPr>
        <a:xfrm>
          <a:off x="593913" y="739588"/>
          <a:ext cx="773206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(Месяц)</a:t>
          </a:r>
        </a:p>
      </xdr:txBody>
    </xdr:sp>
    <xdr:clientData/>
  </xdr:twoCellAnchor>
  <xdr:twoCellAnchor>
    <xdr:from>
      <xdr:col>16</xdr:col>
      <xdr:colOff>11206</xdr:colOff>
      <xdr:row>0</xdr:row>
      <xdr:rowOff>11207</xdr:rowOff>
    </xdr:from>
    <xdr:to>
      <xdr:col>17</xdr:col>
      <xdr:colOff>112059</xdr:colOff>
      <xdr:row>1</xdr:row>
      <xdr:rowOff>44825</xdr:rowOff>
    </xdr:to>
    <xdr:sp macro="" textlink="">
      <xdr:nvSpPr>
        <xdr:cNvPr id="11" name="TextBox 10"/>
        <xdr:cNvSpPr txBox="1"/>
      </xdr:nvSpPr>
      <xdr:spPr>
        <a:xfrm>
          <a:off x="16013206" y="11207"/>
          <a:ext cx="941294" cy="224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(Кураторы)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67236</xdr:colOff>
      <xdr:row>0</xdr:row>
      <xdr:rowOff>6163</xdr:rowOff>
    </xdr:from>
    <xdr:to>
      <xdr:col>17</xdr:col>
      <xdr:colOff>437030</xdr:colOff>
      <xdr:row>10</xdr:row>
      <xdr:rowOff>179294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K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K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1970" y="6163"/>
              <a:ext cx="13930357" cy="20781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2226</xdr:rowOff>
    </xdr:from>
    <xdr:to>
      <xdr:col>2</xdr:col>
      <xdr:colOff>67235</xdr:colOff>
      <xdr:row>3</xdr:row>
      <xdr:rowOff>112059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YEA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26"/>
              <a:ext cx="1770529" cy="681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3362</xdr:colOff>
      <xdr:row>3</xdr:row>
      <xdr:rowOff>131111</xdr:rowOff>
    </xdr:from>
    <xdr:to>
      <xdr:col>2</xdr:col>
      <xdr:colOff>56030</xdr:colOff>
      <xdr:row>10</xdr:row>
      <xdr:rowOff>165611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62" y="702611"/>
              <a:ext cx="1755962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79002</xdr:colOff>
      <xdr:row>0</xdr:row>
      <xdr:rowOff>10085</xdr:rowOff>
    </xdr:from>
    <xdr:to>
      <xdr:col>3</xdr:col>
      <xdr:colOff>45561</xdr:colOff>
      <xdr:row>10</xdr:row>
      <xdr:rowOff>179295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QUARTER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2296" y="10085"/>
              <a:ext cx="1188000" cy="207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209550</xdr:colOff>
          <xdr:row>11</xdr:row>
          <xdr:rowOff>85725</xdr:rowOff>
        </xdr:from>
        <xdr:to>
          <xdr:col>19</xdr:col>
          <xdr:colOff>628650</xdr:colOff>
          <xdr:row>12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МАК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209550</xdr:colOff>
          <xdr:row>12</xdr:row>
          <xdr:rowOff>228600</xdr:rowOff>
        </xdr:from>
        <xdr:to>
          <xdr:col>19</xdr:col>
          <xdr:colOff>628650</xdr:colOff>
          <xdr:row>12</xdr:row>
          <xdr:rowOff>504825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МАК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482413</xdr:colOff>
      <xdr:row>0</xdr:row>
      <xdr:rowOff>1</xdr:rowOff>
    </xdr:from>
    <xdr:to>
      <xdr:col>20</xdr:col>
      <xdr:colOff>246530</xdr:colOff>
      <xdr:row>10</xdr:row>
      <xdr:rowOff>183001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URATORS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ATOR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61266" y="1"/>
              <a:ext cx="1828800" cy="208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Использование срезов возможно только в Excel 2010 и более поздних версий.
Если фигура была изменена в более ранней версии Excel или книга была сохранена в Excel 2003 или более ранней версии, использование данного среда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493059</xdr:colOff>
      <xdr:row>0</xdr:row>
      <xdr:rowOff>22412</xdr:rowOff>
    </xdr:from>
    <xdr:to>
      <xdr:col>1</xdr:col>
      <xdr:colOff>257736</xdr:colOff>
      <xdr:row>1</xdr:row>
      <xdr:rowOff>22412</xdr:rowOff>
    </xdr:to>
    <xdr:sp macro="" textlink="">
      <xdr:nvSpPr>
        <xdr:cNvPr id="9" name="TextBox 8"/>
        <xdr:cNvSpPr txBox="1"/>
      </xdr:nvSpPr>
      <xdr:spPr>
        <a:xfrm>
          <a:off x="493059" y="22412"/>
          <a:ext cx="616324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(Год)</a:t>
          </a:r>
        </a:p>
      </xdr:txBody>
    </xdr:sp>
    <xdr:clientData/>
  </xdr:twoCellAnchor>
  <xdr:twoCellAnchor>
    <xdr:from>
      <xdr:col>0</xdr:col>
      <xdr:colOff>593911</xdr:colOff>
      <xdr:row>3</xdr:row>
      <xdr:rowOff>168088</xdr:rowOff>
    </xdr:from>
    <xdr:to>
      <xdr:col>1</xdr:col>
      <xdr:colOff>515470</xdr:colOff>
      <xdr:row>4</xdr:row>
      <xdr:rowOff>168088</xdr:rowOff>
    </xdr:to>
    <xdr:sp macro="" textlink="">
      <xdr:nvSpPr>
        <xdr:cNvPr id="11" name="TextBox 10"/>
        <xdr:cNvSpPr txBox="1"/>
      </xdr:nvSpPr>
      <xdr:spPr>
        <a:xfrm>
          <a:off x="593911" y="739588"/>
          <a:ext cx="773206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(Месяц)</a:t>
          </a:r>
        </a:p>
      </xdr:txBody>
    </xdr:sp>
    <xdr:clientData/>
  </xdr:twoCellAnchor>
  <xdr:twoCellAnchor>
    <xdr:from>
      <xdr:col>18</xdr:col>
      <xdr:colOff>425824</xdr:colOff>
      <xdr:row>0</xdr:row>
      <xdr:rowOff>11206</xdr:rowOff>
    </xdr:from>
    <xdr:to>
      <xdr:col>19</xdr:col>
      <xdr:colOff>694765</xdr:colOff>
      <xdr:row>1</xdr:row>
      <xdr:rowOff>44824</xdr:rowOff>
    </xdr:to>
    <xdr:sp macro="" textlink="">
      <xdr:nvSpPr>
        <xdr:cNvPr id="12" name="TextBox 11"/>
        <xdr:cNvSpPr txBox="1"/>
      </xdr:nvSpPr>
      <xdr:spPr>
        <a:xfrm>
          <a:off x="15845118" y="11206"/>
          <a:ext cx="941294" cy="224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ru-RU" sz="1100" b="1"/>
            <a:t>(Кураторы)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39539</xdr:colOff>
      <xdr:row>3</xdr:row>
      <xdr:rowOff>161683</xdr:rowOff>
    </xdr:from>
    <xdr:to>
      <xdr:col>28</xdr:col>
      <xdr:colOff>11206</xdr:colOff>
      <xdr:row>29</xdr:row>
      <xdr:rowOff>83242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85725</xdr:rowOff>
        </xdr:from>
        <xdr:to>
          <xdr:col>6</xdr:col>
          <xdr:colOff>76200</xdr:colOff>
          <xdr:row>2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Отсортировать графики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85725</xdr:rowOff>
        </xdr:from>
        <xdr:to>
          <xdr:col>6</xdr:col>
          <xdr:colOff>76200</xdr:colOff>
          <xdr:row>2</xdr:row>
          <xdr:rowOff>57150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Отсортировать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44824</xdr:colOff>
      <xdr:row>3</xdr:row>
      <xdr:rowOff>51547</xdr:rowOff>
    </xdr:from>
    <xdr:to>
      <xdr:col>16</xdr:col>
      <xdr:colOff>145676</xdr:colOff>
      <xdr:row>22</xdr:row>
      <xdr:rowOff>67234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Ребенок Диана Андреевна" refreshedDate="43125.575899305557" createdVersion="4" refreshedVersion="4" minRefreshableVersion="3" recordCount="64">
  <cacheSource type="worksheet">
    <worksheetSource name="tPanel_Export"/>
  </cacheSource>
  <cacheFields count="91">
    <cacheField name="DATE_FROM" numFmtId="14">
      <sharedItems containsSemiMixedTypes="0" containsNonDate="0" containsDate="1" containsString="0" minDate="2015-01-01T00:00:00" maxDate="2017-12-02T00:00:00" count="14">
        <d v="2015-01-01T00:00:00"/>
        <d v="2017-08-01T00:00:00" u="1"/>
        <d v="2017-07-01T00:00:00" u="1"/>
        <d v="2017-06-01T00:00:00" u="1"/>
        <d v="2017-05-01T00:00:00" u="1"/>
        <d v="2017-04-01T00:00:00" u="1"/>
        <d v="2017-03-01T00:00:00" u="1"/>
        <d v="2017-02-01T00:00:00" u="1"/>
        <d v="2017-12-01T00:00:00" u="1"/>
        <d v="2016-01-01T00:00:00" u="1"/>
        <d v="2017-01-01T00:00:00" u="1"/>
        <d v="2017-11-01T00:00:00" u="1"/>
        <d v="2017-10-01T00:00:00" u="1"/>
        <d v="2017-09-01T00:00:00" u="1"/>
      </sharedItems>
    </cacheField>
    <cacheField name="DATE_TO" numFmtId="14">
      <sharedItems containsSemiMixedTypes="0" containsNonDate="0" containsDate="1" containsString="0" minDate="2015-12-31T00:00:00" maxDate="2018-01-01T00:00:00" count="17">
        <d v="2015-12-31T00:00:00"/>
        <d v="2017-11-30T00:00:00" u="1"/>
        <d v="2017-05-31T00:00:00" u="1"/>
        <d v="2017-02-28T00:00:00" u="1"/>
        <d v="2017-09-30T00:00:00" u="1"/>
        <d v="2017-03-31T00:00:00" u="1"/>
        <d v="2017-12-19T00:00:00" u="1"/>
        <d v="2016-12-31T00:00:00" u="1"/>
        <d v="2017-12-31T00:00:00" u="1"/>
        <d v="2017-01-31T00:00:00" u="1"/>
        <d v="2017-06-30T00:00:00" u="1"/>
        <d v="2017-10-31T00:00:00" u="1"/>
        <d v="2017-08-19T00:00:00" u="1"/>
        <d v="2017-04-30T00:00:00" u="1"/>
        <d v="2017-11-08T00:00:00" u="1"/>
        <d v="2017-08-31T00:00:00" u="1"/>
        <d v="2017-07-31T00:00:00" u="1"/>
      </sharedItems>
    </cacheField>
    <cacheField name="MAK" numFmtId="0">
      <sharedItems containsBlank="1" count="64">
        <s v="Кострома"/>
        <s v="Благовещенск"/>
        <s v="Ставрополь"/>
        <s v="Калининград"/>
        <s v="Курган"/>
        <s v="Владивосток"/>
        <s v="Тамбов"/>
        <s v="Улан-Удэ"/>
        <s v="Курск"/>
        <s v="Новосибирск"/>
        <s v="Архангельск"/>
        <s v="Киров"/>
        <s v="Нижний Новгород"/>
        <s v="Чебоксары"/>
        <s v="Иваново"/>
        <s v="Ижевск"/>
        <m/>
        <s v="Йошкар-Ола"/>
        <s v="Красноярск"/>
        <s v="Сургут"/>
        <s v="Смоленск"/>
        <s v="Тюмень"/>
        <s v="Ростов-на-Дону"/>
        <s v="Астрахань"/>
        <s v="Томск"/>
        <s v="Владимир"/>
        <s v="Великий Новгород"/>
        <s v="Омск"/>
        <s v="Тверь"/>
        <s v="Саранск"/>
        <s v="Оренбург"/>
        <s v="Тула"/>
        <s v="Ярославль"/>
        <s v="Санкт-Петербург"/>
        <s v="Иркутск"/>
        <s v="Тольятти"/>
        <s v="Брянск"/>
        <s v="Пенза"/>
        <s v="Барнаул"/>
        <s v="Калуга"/>
        <s v="Челябинск"/>
        <s v="Липецк"/>
        <s v="Краснодар"/>
        <s v="Кемерово"/>
        <s v="Мурманск"/>
        <s v="Хабаровск"/>
        <s v="Москва"/>
        <s v="Саратов"/>
        <s v="Уфа"/>
        <s v="Екатеринбург"/>
        <s v="Петрозаводск"/>
        <s v="Чита"/>
        <s v="Казань"/>
        <s v="Орел"/>
        <s v="Сыктывкар"/>
        <s v="Псков"/>
        <s v="Волгоград"/>
        <s v="Самара"/>
        <s v="Рязань"/>
        <s v="Воронеж"/>
        <s v="Череповец"/>
        <s v="Ульяновск"/>
        <s v="Пермь"/>
        <s v="Белгород"/>
      </sharedItems>
    </cacheField>
    <cacheField name="TOTAL_COUNT_PLAN" numFmtId="3">
      <sharedItems containsNonDate="0" containsString="0" containsBlank="1"/>
    </cacheField>
    <cacheField name="TOTAL_COUNT_FACT" numFmtId="0">
      <sharedItems containsSemiMixedTypes="0" containsString="0" containsNumber="1" containsInteger="1" minValue="12" maxValue="14194"/>
    </cacheField>
    <cacheField name="ISPOL_PLANA_COUNT" numFmtId="165">
      <sharedItems containsNonDate="0" containsString="0" containsBlank="1"/>
    </cacheField>
    <cacheField name="TOTAL_SUM_PLAN" numFmtId="3">
      <sharedItems containsNonDate="0" containsString="0" containsBlank="1"/>
    </cacheField>
    <cacheField name="TOTAL_SUM_FACT" numFmtId="3">
      <sharedItems containsSemiMixedTypes="0" containsString="0" containsNumber="1" minValue="7275079.7000000002" maxValue="8852080698.4799995"/>
    </cacheField>
    <cacheField name="ISPOL_PLANA_SUM" numFmtId="165">
      <sharedItems containsNonDate="0" containsString="0" containsBlank="1"/>
    </cacheField>
    <cacheField name="MEDIUM_CHECK" numFmtId="3">
      <sharedItems containsSemiMixedTypes="0" containsString="0" containsNumber="1" minValue="270733.570187342" maxValue="985417.44706896599"/>
    </cacheField>
    <cacheField name="FP_COUNT_PLAN" numFmtId="3">
      <sharedItems containsNonDate="0" containsString="0" containsBlank="1"/>
    </cacheField>
    <cacheField name="FP_COUNT_FACT" numFmtId="0">
      <sharedItems containsString="0" containsBlank="1" containsNumber="1" containsInteger="1" minValue="13" maxValue="9086"/>
    </cacheField>
    <cacheField name="ISPOL_PLANA_FP" numFmtId="165">
      <sharedItems containsNonDate="0" containsString="0" containsBlank="1"/>
    </cacheField>
    <cacheField name="neFP_COUNT_PLAN" numFmtId="3">
      <sharedItems containsNonDate="0" containsString="0" containsBlank="1"/>
    </cacheField>
    <cacheField name="neFP_COUNT_FACT" numFmtId="0">
      <sharedItems containsString="0" containsBlank="1" containsNumber="1" containsInteger="1" minValue="15" maxValue="4319"/>
    </cacheField>
    <cacheField name="ISPOL_PLANA_neFP" numFmtId="165">
      <sharedItems containsNonDate="0" containsString="0" containsBlank="1"/>
    </cacheField>
    <cacheField name="ASP_D_COUNT_PLAN" numFmtId="3">
      <sharedItems containsNonDate="0" containsString="0" containsBlank="1"/>
    </cacheField>
    <cacheField name="ASP_D_COUNT_FACT" numFmtId="0">
      <sharedItems containsString="0" containsBlank="1" containsNumber="1" containsInteger="1" minValue="2" maxValue="469"/>
    </cacheField>
    <cacheField name="ISPOL_PLANA_ASP_D" numFmtId="165">
      <sharedItems containsNonDate="0" containsString="0" containsBlank="1"/>
    </cacheField>
    <cacheField name="C2C_COUNT_PLAN" numFmtId="0">
      <sharedItems containsNonDate="0" containsString="0" containsBlank="1"/>
    </cacheField>
    <cacheField name="C2C_COUNT_FACT" numFmtId="0">
      <sharedItems containsSemiMixedTypes="0" containsString="0" containsNumber="1" containsInteger="1" minValue="0" maxValue="0"/>
    </cacheField>
    <cacheField name="ISPOL_PLANA_C2C" numFmtId="165">
      <sharedItems containsSemiMixedTypes="0" containsString="0" containsNumber="1" containsInteger="1" minValue="0" maxValue="0"/>
    </cacheField>
    <cacheField name="VKASKO_PENET_SHT" numFmtId="165">
      <sharedItems containsString="0" containsBlank="1" containsNumber="1" minValue="0" maxValue="0.111111"/>
    </cacheField>
    <cacheField name="VKASKO_PENET_RUB" numFmtId="165">
      <sharedItems containsString="0" containsBlank="1" containsNumber="1" minValue="0" maxValue="0.111979"/>
    </cacheField>
    <cacheField name="MKASKO_PENET_SHT" numFmtId="165">
      <sharedItems containsString="0" containsBlank="1" containsNumber="1" minValue="0" maxValue="2.6670000000000001E-3"/>
    </cacheField>
    <cacheField name="MKASKO_PENET_RUB" numFmtId="165">
      <sharedItems containsString="0" containsBlank="1" containsNumber="1" minValue="0" maxValue="2.6809999999999998E-3"/>
    </cacheField>
    <cacheField name="SJ_PENET_SHT" numFmtId="165">
      <sharedItems containsString="0" containsBlank="1" containsNumber="1" minValue="0.222222" maxValue="0.89010999999999996"/>
    </cacheField>
    <cacheField name="SJ_PENET_RUB" numFmtId="165">
      <sharedItems containsString="0" containsBlank="1" containsNumber="1" minValue="0.15088799999999999" maxValue="0.78647299999999998"/>
    </cacheField>
    <cacheField name="DKASKO_PENET_SHT" numFmtId="165">
      <sharedItems containsString="0" containsBlank="1" containsNumber="1" minValue="0" maxValue="2E-3"/>
    </cacheField>
    <cacheField name="DKASKO_PENET_RUB" numFmtId="165">
      <sharedItems containsString="0" containsBlank="1" containsNumber="1" minValue="0" maxValue="1.2489999999999999E-3"/>
    </cacheField>
    <cacheField name="RAMK_PENET_SHT" numFmtId="165">
      <sharedItems containsString="0" containsBlank="1" containsNumber="1" containsInteger="1" minValue="0" maxValue="0"/>
    </cacheField>
    <cacheField name="RAMK_PENET_RUB" numFmtId="165">
      <sharedItems containsString="0" containsBlank="1" containsNumber="1" containsInteger="1" minValue="0" maxValue="0"/>
    </cacheField>
    <cacheField name="AVL_PENET_SHT" numFmtId="165">
      <sharedItems containsString="0" containsBlank="1" containsNumber="1" containsInteger="1" minValue="0" maxValue="0"/>
    </cacheField>
    <cacheField name="AVL_PENET_RUB" numFmtId="165">
      <sharedItems containsString="0" containsBlank="1" containsNumber="1" containsInteger="1" minValue="0" maxValue="0"/>
    </cacheField>
    <cacheField name="STAVKAGP" numFmtId="167">
      <sharedItems containsString="0" containsBlank="1" containsNumber="1" minValue="16.9855862" maxValue="19.522088799999999"/>
    </cacheField>
    <cacheField name="SROKKRED" numFmtId="167">
      <sharedItems containsString="0" containsBlank="1" containsNumber="1" minValue="38.9" maxValue="56.87"/>
    </cacheField>
    <cacheField name="AB_COUNT_PLAN" numFmtId="167">
      <sharedItems containsNonDate="0" containsString="0" containsBlank="1"/>
    </cacheField>
    <cacheField name="AB_COUNT_FACT" numFmtId="167">
      <sharedItems containsSemiMixedTypes="0" containsString="0" containsNumber="1" containsInteger="1" minValue="0" maxValue="1192"/>
    </cacheField>
    <cacheField name="SV_PV" numFmtId="0">
      <sharedItems containsString="0" containsBlank="1" containsNumber="1" minValue="0.36680000000000001" maxValue="0.49280000000000002"/>
    </cacheField>
    <cacheField name="VEHICLE_COST_RUR_AMT" numFmtId="0">
      <sharedItems containsString="0" containsBlank="1" containsNumber="1" minValue="50727020.020000003" maxValue="14924901324.049999"/>
    </cacheField>
    <cacheField name="ASP_COUNT_PLAN" numFmtId="167">
      <sharedItems containsSemiMixedTypes="0" containsString="0" containsNumber="1" containsInteger="1" minValue="0" maxValue="0"/>
    </cacheField>
    <cacheField name="ASP_COUNT_FACT" numFmtId="167">
      <sharedItems containsSemiMixedTypes="0" containsString="0" containsNumber="1" containsInteger="1" minValue="0" maxValue="469"/>
    </cacheField>
    <cacheField name="MEDIUM_CHECK_weighted_value" numFmtId="3">
      <sharedItems containsSemiMixedTypes="0" containsString="0" containsNumber="1" minValue="7275079.700000003" maxValue="8852080698.4799938"/>
    </cacheField>
    <cacheField name="YEAR" numFmtId="0">
      <sharedItems containsSemiMixedTypes="0" containsString="0" containsNumber="1" containsInteger="1" minValue="1900" maxValue="2017" count="4">
        <n v="2015"/>
        <n v="1900" u="1"/>
        <n v="2016" u="1"/>
        <n v="2017" u="1"/>
      </sharedItems>
    </cacheField>
    <cacheField name="MONTH" numFmtId="3">
      <sharedItems containsSemiMixedTypes="0" containsString="0" containsNumber="1" containsInteger="1" minValue="1" maxValue="12" count="12">
        <n v="12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</sharedItems>
    </cacheField>
    <cacheField name="QUARTER" numFmtId="3">
      <sharedItems containsBlank="1" count="5">
        <s v="Q4"/>
        <m u="1"/>
        <s v="Q2" u="1"/>
        <s v="Q1" u="1"/>
        <s v="Q3" u="1"/>
      </sharedItems>
    </cacheField>
    <cacheField name="STAVKAGP_weighted_value" numFmtId="3">
      <sharedItems containsSemiMixedTypes="0" containsString="0" containsNumber="1" minValue="0" maxValue="157485620305.9278"/>
    </cacheField>
    <cacheField name="SROKKRED_weighted_value" numFmtId="3">
      <sharedItems containsSemiMixedTypes="0" containsString="0" containsNumber="1" minValue="0" maxValue="373115201440.93195"/>
    </cacheField>
    <cacheField name="SV_PV_weighted_value" numFmtId="3">
      <sharedItems containsSemiMixedTypes="0" containsString="0" containsNumber="1" minValue="0" maxValue="6949034056.4776802"/>
    </cacheField>
    <cacheField name="VKASKO_PENET_SHT_weighted_value" numFmtId="3">
      <sharedItems containsSemiMixedTypes="0" containsString="0" containsNumber="1" minValue="0" maxValue="210.70617000000001"/>
    </cacheField>
    <cacheField name="VKASKO_PENET_RUB_weighted_value" numFmtId="3">
      <sharedItems containsSemiMixedTypes="0" containsString="0" containsNumber="1" minValue="0" maxValue="82497924.37973924"/>
    </cacheField>
    <cacheField name="MKASKO_PENET_SHT_weighted_value" numFmtId="3">
      <sharedItems containsSemiMixedTypes="0" containsString="0" containsNumber="1" minValue="0" maxValue="3.9998640000000001"/>
    </cacheField>
    <cacheField name="MKASKO_PENET_RUB_weighted_value" numFmtId="3">
      <sharedItems containsSemiMixedTypes="0" containsString="0" containsNumber="1" minValue="0" maxValue="1064285.2699531801"/>
    </cacheField>
    <cacheField name="SJ_PENET_SHT_weighted_value" numFmtId="3">
      <sharedItems containsSemiMixedTypes="0" containsString="0" containsNumber="1" minValue="0" maxValue="10278.996725999999"/>
    </cacheField>
    <cacheField name="SJ_PENET_RUB_weighted_value" numFmtId="3">
      <sharedItems containsSemiMixedTypes="0" containsString="0" containsNumber="1" minValue="0" maxValue="5784330167.8568659"/>
    </cacheField>
    <cacheField name="DKASKO_PENET_SHT_weighted_value" numFmtId="3">
      <sharedItems containsSemiMixedTypes="0" containsString="0" containsNumber="1" minValue="0" maxValue="1.1739999999999999"/>
    </cacheField>
    <cacheField name="DKASKO_PENET_RUB_weighted_value" numFmtId="3">
      <sharedItems containsSemiMixedTypes="0" containsString="0" containsNumber="1" minValue="0" maxValue="381032.28911279998"/>
    </cacheField>
    <cacheField name="RAMK_PENET_SHT_weighted_value" numFmtId="3">
      <sharedItems containsSemiMixedTypes="0" containsString="0" containsNumber="1" containsInteger="1" minValue="0" maxValue="0"/>
    </cacheField>
    <cacheField name="RAMK_PENET_RUB_weighted_value" numFmtId="3">
      <sharedItems containsSemiMixedTypes="0" containsString="0" containsNumber="1" containsInteger="1" minValue="0" maxValue="0"/>
    </cacheField>
    <cacheField name="AVL_PENET_SHT_weighted_value" numFmtId="3">
      <sharedItems containsSemiMixedTypes="0" containsString="0" containsNumber="1" containsInteger="1" minValue="0" maxValue="0"/>
    </cacheField>
    <cacheField name="AVL_PENET_RUB_weighted_value" numFmtId="3">
      <sharedItems containsSemiMixedTypes="0" containsString="0" containsNumber="1" containsInteger="1" minValue="0" maxValue="0"/>
    </cacheField>
    <cacheField name="Единица" numFmtId="3">
      <sharedItems containsSemiMixedTypes="0" containsString="0" containsNumber="1" containsInteger="1" minValue="1" maxValue="1"/>
    </cacheField>
    <cacheField name="Прогнозный_коэф" numFmtId="4">
      <sharedItems containsSemiMixedTypes="0" containsString="0" containsNumber="1" containsInteger="1" minValue="1" maxValue="1"/>
    </cacheField>
    <cacheField name="CURATORS" numFmtId="3">
      <sharedItems containsBlank="1" count="10">
        <s v="Чаусов"/>
        <s v="-"/>
        <s v="Швейцаров"/>
        <s v="Капшук"/>
        <s v="Кашин"/>
        <s v="Кабдулин"/>
        <s v="Иванов"/>
        <s v="Романов"/>
        <m u="1"/>
        <e v="#N/A" u="1"/>
      </sharedItems>
    </cacheField>
    <cacheField name="total_plan_sht_ispol" numFmtId="0" formula="TOTAL_COUNT_FACT/TOTAL_COUNT_PLAN" databaseField="0"/>
    <cacheField name="total_plan_rub_ispol" numFmtId="0" formula="TOTAL_SUM_FACT/TOTAL_SUM_PLAN" databaseField="0"/>
    <cacheField name="fp_plan_ispol" numFmtId="0" formula="FP_COUNT_FACT/FP_COUNT_PLAN" databaseField="0"/>
    <cacheField name="nefp_plan_ispol" numFmtId="0" formula="neFP_COUNT_FACT/neFP_COUNT_PLAN" databaseField="0"/>
    <cacheField name="asp_d_plan_ispol" numFmtId="0" formula="ASP_D_COUNT_FACT/ASP_D_COUNT_PLAN" databaseField="0"/>
    <cacheField name="sred_check_wa" numFmtId="0" formula="MEDIUM_CHECK_weighted_value/TOTAL_COUNT_FACT" databaseField="0"/>
    <cacheField name="sred_stavkagp_wa" numFmtId="0" formula="STAVKAGP_weighted_value/TOTAL_SUM_FACT" databaseField="0"/>
    <cacheField name="sred_srokkredita_wa" numFmtId="0" formula="SROKKRED_weighted_value/TOTAL_SUM_FACT" databaseField="0"/>
    <cacheField name="VKASKO_penet_sht_wa" numFmtId="0" formula="VKASKO_PENET_SHT_weighted_value/TOTAL_COUNT_FACT" databaseField="0"/>
    <cacheField name="VKASKO_penet_rub_wa" numFmtId="0" formula="VKASKO_PENET_RUB_weighted_value/TOTAL_SUM_FACT" databaseField="0"/>
    <cacheField name="MKASKO_penet_sht_wa" numFmtId="0" formula="MKASKO_PENET_SHT_weighted_value/TOTAL_COUNT_FACT" databaseField="0"/>
    <cacheField name="MKASKO_penet_rub_wa" numFmtId="0" formula="MKASKO_PENET_RUB_weighted_value/TOTAL_SUM_FACT" databaseField="0"/>
    <cacheField name="SJ_penet_sht_wa" numFmtId="0" formula="SJ_PENET_SHT_weighted_value/TOTAL_COUNT_FACT" databaseField="0"/>
    <cacheField name="SJ_penet_rub_wa" numFmtId="0" formula="SJ_PENET_RUB_weighted_value/TOTAL_SUM_FACT" databaseField="0"/>
    <cacheField name="DKASKO_penet_sht_wa" numFmtId="0" formula="DKASKO_PENET_SHT_weighted_value/TOTAL_COUNT_FACT" databaseField="0"/>
    <cacheField name="DKASKO_penet_rub_wa" numFmtId="0" formula="DKASKO_PENET_RUB_weighted_value/TOTAL_SUM_FACT" databaseField="0"/>
    <cacheField name="RAMK_penet_sht_wa" numFmtId="0" formula="RAMK_PENET_SHT_weighted_value/TOTAL_COUNT_FACT" databaseField="0"/>
    <cacheField name="RAMK_penet_rub_wa" numFmtId="0" formula="RAMK_PENET_RUB_weighted_value/TOTAL_SUM_FACT" databaseField="0"/>
    <cacheField name="AVL_penet_sht_wa" numFmtId="0" formula="AVL_PENET_SHT_weighted_value/TOTAL_COUNT_FACT" databaseField="0"/>
    <cacheField name="AVL_penet_rub_wa" numFmtId="0" formula="AVL_PENET_RUB_weighted_value/TOTAL_SUM_FACT" databaseField="0"/>
    <cacheField name="План (С2С), шт." numFmtId="0" formula="IF((TOTAL_COUNT_PLAN-FP_COUNT_PLAN-neFP_COUNT_PLAN-ASP_D_COUNT_PLAN-AB_COUNT_PLAN)&lt;=10,0,TOTAL_COUNT_PLAN-FP_COUNT_PLAN-neFP_COUNT_PLAN-ASP_D_COUNT_PLAN-AB_COUNT_PLAN)" databaseField="0"/>
    <cacheField name="с2с_plan_sht_ispol" numFmtId="0" formula="IFERROR(#NAME?/#NAME?,0)" databaseField="0"/>
    <cacheField name="ab_plan_sht_ispol" numFmtId="0" formula="AB_COUNT_FACT/AB_COUNT_PLAN" databaseField="0"/>
    <cacheField name="sred_pv_wa" numFmtId="0" formula="SV_PV_weighted_value/VEHICLE_COST_RUR_AMT" databaseField="0"/>
    <cacheField name="asp_plan_ispol" numFmtId="0" formula="ASP_COUNT_FACT/ASP_COUNT_PLAN" databaseField="0"/>
    <cacheField name="Forecast_plan_sht_total" numFmtId="0" formula="IF(TOTAL_COUNT_PLAN&gt;0,TOTAL_COUNT_FACT/TOTAL_COUNT_PLAN*(Прогнозный_коэф/Единица),0)" databaseField="0"/>
    <cacheField name="Forecast_plan_rub_total" numFmtId="0" formula="IF(TOTAL_SUM_PLAN&gt;0,TOTAL_SUM_FACT/TOTAL_SUM_PLAN*(Прогнозный_коэф/Единица),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x v="0"/>
    <x v="0"/>
    <m/>
    <n v="171"/>
    <m/>
    <m/>
    <n v="71897589.680000007"/>
    <m/>
    <n v="420453.74081871298"/>
    <m/>
    <n v="148"/>
    <m/>
    <m/>
    <n v="18"/>
    <m/>
    <m/>
    <n v="4"/>
    <m/>
    <m/>
    <n v="0"/>
    <n v="0"/>
    <n v="0"/>
    <n v="0"/>
    <n v="0"/>
    <n v="0"/>
    <n v="0.80701800000000001"/>
    <n v="0.64852200000000004"/>
    <n v="0"/>
    <n v="0"/>
    <n v="0"/>
    <n v="0"/>
    <n v="0"/>
    <n v="0"/>
    <n v="18.995353999999999"/>
    <n v="42.8"/>
    <m/>
    <n v="1"/>
    <n v="0.36680000000000001"/>
    <n v="105371455.78"/>
    <n v="0"/>
    <n v="4"/>
    <n v="71897589.679999918"/>
    <x v="0"/>
    <x v="0"/>
    <x v="0"/>
    <n v="1365720167.7183468"/>
    <n v="3077216838.3039999"/>
    <n v="38650249.980103999"/>
    <n v="0"/>
    <n v="0"/>
    <n v="0"/>
    <n v="0"/>
    <n v="138.000078"/>
    <n v="46627168.654452965"/>
    <n v="0"/>
    <n v="0"/>
    <n v="0"/>
    <n v="0"/>
    <n v="0"/>
    <n v="0"/>
    <n v="1"/>
    <n v="1"/>
    <x v="0"/>
  </r>
  <r>
    <x v="0"/>
    <x v="0"/>
    <x v="1"/>
    <m/>
    <n v="91"/>
    <m/>
    <m/>
    <n v="66061833.439999998"/>
    <m/>
    <n v="725954.21362637402"/>
    <m/>
    <n v="43"/>
    <m/>
    <m/>
    <n v="27"/>
    <m/>
    <m/>
    <n v="4"/>
    <m/>
    <m/>
    <n v="0"/>
    <n v="0"/>
    <n v="0"/>
    <n v="0"/>
    <n v="0"/>
    <n v="0"/>
    <n v="0.62637399999999999"/>
    <n v="0.52212999999999998"/>
    <n v="0"/>
    <n v="0"/>
    <n v="0"/>
    <n v="0"/>
    <n v="0"/>
    <n v="0"/>
    <n v="18.245531"/>
    <n v="48.73"/>
    <m/>
    <n v="17"/>
    <n v="0.49199999999999999"/>
    <n v="117537443.81"/>
    <n v="0"/>
    <n v="4"/>
    <n v="66061833.440000035"/>
    <x v="0"/>
    <x v="0"/>
    <x v="0"/>
    <n v="1205333229.9463565"/>
    <n v="3219193143.5311995"/>
    <n v="57828422.354520001"/>
    <n v="0"/>
    <n v="0"/>
    <n v="0"/>
    <n v="0"/>
    <n v="57.000033999999999"/>
    <n v="34492865.094027199"/>
    <n v="0"/>
    <n v="0"/>
    <n v="0"/>
    <n v="0"/>
    <n v="0"/>
    <n v="0"/>
    <n v="1"/>
    <n v="1"/>
    <x v="1"/>
  </r>
  <r>
    <x v="0"/>
    <x v="0"/>
    <x v="2"/>
    <m/>
    <n v="1644"/>
    <m/>
    <m/>
    <n v="715144303.00999999"/>
    <m/>
    <n v="435002.61740267603"/>
    <m/>
    <n v="1262"/>
    <m/>
    <m/>
    <n v="270"/>
    <m/>
    <m/>
    <n v="19"/>
    <m/>
    <m/>
    <n v="0"/>
    <n v="0"/>
    <n v="5.0290000000000001E-2"/>
    <n v="4.6524999999999997E-2"/>
    <n v="0"/>
    <n v="0"/>
    <n v="0.756691"/>
    <n v="0.634073"/>
    <n v="0"/>
    <n v="0"/>
    <n v="0"/>
    <n v="0"/>
    <n v="0"/>
    <n v="0"/>
    <n v="18.591329200000001"/>
    <n v="41.86"/>
    <m/>
    <n v="93"/>
    <n v="0.41670000000000001"/>
    <n v="1103334920.73"/>
    <n v="0"/>
    <n v="19"/>
    <n v="715144303.00999939"/>
    <x v="0"/>
    <x v="0"/>
    <x v="0"/>
    <n v="13295483162.76346"/>
    <n v="29935940523.9986"/>
    <n v="459759661.46819103"/>
    <n v="82.676760000000002"/>
    <n v="33272088.697540246"/>
    <n v="0"/>
    <n v="0"/>
    <n v="1244.000004"/>
    <n v="453453693.64245975"/>
    <n v="0"/>
    <n v="0"/>
    <n v="0"/>
    <n v="0"/>
    <n v="0"/>
    <n v="0"/>
    <n v="1"/>
    <n v="1"/>
    <x v="0"/>
  </r>
  <r>
    <x v="0"/>
    <x v="0"/>
    <x v="3"/>
    <m/>
    <n v="526"/>
    <m/>
    <m/>
    <n v="292378482.64999998"/>
    <m/>
    <n v="555852.62861216697"/>
    <m/>
    <n v="359"/>
    <m/>
    <m/>
    <n v="121"/>
    <m/>
    <m/>
    <n v="21"/>
    <m/>
    <m/>
    <n v="0"/>
    <n v="0"/>
    <n v="0"/>
    <n v="0"/>
    <n v="0"/>
    <n v="0"/>
    <n v="0.71672999999999998"/>
    <n v="0.640486"/>
    <n v="0"/>
    <n v="0"/>
    <n v="0"/>
    <n v="0"/>
    <n v="0"/>
    <n v="0"/>
    <n v="16.9855862"/>
    <n v="44.32"/>
    <m/>
    <n v="25"/>
    <n v="0.44979999999999998"/>
    <n v="478926911.80000001"/>
    <n v="0"/>
    <n v="21"/>
    <n v="292378482.6499998"/>
    <x v="0"/>
    <x v="0"/>
    <x v="0"/>
    <n v="4966219920.0767794"/>
    <n v="12958214351.047998"/>
    <n v="215421324.92763999"/>
    <n v="0"/>
    <n v="0"/>
    <n v="0"/>
    <n v="0"/>
    <n v="376.99997999999999"/>
    <n v="187264324.83856788"/>
    <n v="0"/>
    <n v="0"/>
    <n v="0"/>
    <n v="0"/>
    <n v="0"/>
    <n v="0"/>
    <n v="1"/>
    <n v="1"/>
    <x v="0"/>
  </r>
  <r>
    <x v="0"/>
    <x v="0"/>
    <x v="4"/>
    <m/>
    <n v="199"/>
    <m/>
    <m/>
    <n v="82896378.340000004"/>
    <m/>
    <n v="416564.71527638199"/>
    <m/>
    <n v="95"/>
    <m/>
    <m/>
    <n v="55"/>
    <m/>
    <m/>
    <n v="3"/>
    <m/>
    <m/>
    <n v="0"/>
    <n v="0"/>
    <n v="0"/>
    <n v="0"/>
    <n v="0"/>
    <n v="0"/>
    <n v="0.688442"/>
    <n v="0.48666999999999999"/>
    <n v="0"/>
    <n v="0"/>
    <n v="0"/>
    <n v="0"/>
    <n v="0"/>
    <n v="0"/>
    <n v="18.360289999999999"/>
    <n v="46.7"/>
    <m/>
    <n v="46"/>
    <n v="0.42509999999999998"/>
    <n v="129622109.62"/>
    <n v="0"/>
    <n v="3"/>
    <n v="82896378.340000018"/>
    <x v="0"/>
    <x v="0"/>
    <x v="0"/>
    <n v="1522001546.2721186"/>
    <n v="3871260868.4780006"/>
    <n v="55102358.799461998"/>
    <n v="0"/>
    <n v="0"/>
    <n v="0"/>
    <n v="0"/>
    <n v="136.99995799999999"/>
    <n v="40343180.446727797"/>
    <n v="0"/>
    <n v="0"/>
    <n v="0"/>
    <n v="0"/>
    <n v="0"/>
    <n v="0"/>
    <n v="1"/>
    <n v="1"/>
    <x v="2"/>
  </r>
  <r>
    <x v="0"/>
    <x v="0"/>
    <x v="5"/>
    <m/>
    <n v="116"/>
    <m/>
    <m/>
    <n v="114308423.86"/>
    <m/>
    <n v="985417.44706896599"/>
    <m/>
    <n v="50"/>
    <m/>
    <m/>
    <n v="45"/>
    <m/>
    <m/>
    <n v="5"/>
    <m/>
    <m/>
    <n v="0"/>
    <n v="0"/>
    <n v="0.04"/>
    <n v="2.5606E-2"/>
    <n v="0"/>
    <n v="0"/>
    <n v="0.62931000000000004"/>
    <n v="0.41910500000000001"/>
    <n v="0"/>
    <n v="0"/>
    <n v="0"/>
    <n v="0"/>
    <n v="0"/>
    <n v="0"/>
    <n v="17.933657400000001"/>
    <n v="51.25"/>
    <m/>
    <n v="16"/>
    <n v="0.3926"/>
    <n v="171760995.5"/>
    <n v="0"/>
    <n v="5"/>
    <n v="114308423.86000006"/>
    <x v="0"/>
    <x v="0"/>
    <x v="0"/>
    <n v="2049968111.4392257"/>
    <n v="5858306722.8249998"/>
    <n v="67433366.833299994"/>
    <n v="4.6399999999999997"/>
    <n v="2926981.5013591601"/>
    <n v="0"/>
    <n v="0"/>
    <n v="72.999960000000002"/>
    <n v="47907231.981845297"/>
    <n v="0"/>
    <n v="0"/>
    <n v="0"/>
    <n v="0"/>
    <n v="0"/>
    <n v="0"/>
    <n v="1"/>
    <n v="1"/>
    <x v="3"/>
  </r>
  <r>
    <x v="0"/>
    <x v="0"/>
    <x v="6"/>
    <m/>
    <n v="490"/>
    <m/>
    <m/>
    <n v="158587436.22"/>
    <m/>
    <n v="323647.82902040798"/>
    <m/>
    <n v="360"/>
    <m/>
    <m/>
    <n v="80"/>
    <m/>
    <m/>
    <n v="5"/>
    <m/>
    <m/>
    <n v="0"/>
    <n v="0"/>
    <n v="2.2471999999999999E-2"/>
    <n v="2.4823000000000001E-2"/>
    <n v="0"/>
    <n v="0"/>
    <n v="0.63469399999999998"/>
    <n v="0.48661399999999999"/>
    <n v="0"/>
    <n v="0"/>
    <n v="0"/>
    <n v="0"/>
    <n v="0"/>
    <n v="0"/>
    <n v="19.522088799999999"/>
    <n v="44.79"/>
    <m/>
    <n v="45"/>
    <n v="0.44619999999999999"/>
    <n v="261177848.37"/>
    <n v="0"/>
    <n v="5"/>
    <n v="158587436.21999991"/>
    <x v="0"/>
    <x v="0"/>
    <x v="0"/>
    <n v="3095958012.4511762"/>
    <n v="7103131268.2937994"/>
    <n v="116537555.94269399"/>
    <n v="11.011279999999999"/>
    <n v="3936615.9292890602"/>
    <n v="0"/>
    <n v="0"/>
    <n v="311.00005999999996"/>
    <n v="77170866.688759074"/>
    <n v="0"/>
    <n v="0"/>
    <n v="0"/>
    <n v="0"/>
    <n v="0"/>
    <n v="0"/>
    <n v="1"/>
    <n v="1"/>
    <x v="4"/>
  </r>
  <r>
    <x v="0"/>
    <x v="0"/>
    <x v="7"/>
    <m/>
    <n v="59"/>
    <m/>
    <m/>
    <n v="40405485.609999999"/>
    <m/>
    <n v="684838.73915254197"/>
    <m/>
    <n v="27"/>
    <m/>
    <m/>
    <n v="24"/>
    <m/>
    <m/>
    <n v="2"/>
    <m/>
    <m/>
    <n v="0"/>
    <n v="0"/>
    <n v="0"/>
    <n v="0"/>
    <n v="0"/>
    <n v="0"/>
    <n v="0.50847500000000001"/>
    <n v="0.45343499999999998"/>
    <n v="0"/>
    <n v="0"/>
    <n v="0"/>
    <n v="0"/>
    <n v="0"/>
    <n v="0"/>
    <n v="18.596053300000001"/>
    <n v="46.26"/>
    <m/>
    <n v="6"/>
    <n v="0.41289999999999999"/>
    <n v="63032584.479999997"/>
    <n v="0"/>
    <n v="2"/>
    <n v="40405485.609999977"/>
    <x v="0"/>
    <x v="0"/>
    <x v="0"/>
    <n v="751382564.01594305"/>
    <n v="1869157764.3185999"/>
    <n v="26026154.131791998"/>
    <n v="0"/>
    <n v="0"/>
    <n v="0"/>
    <n v="0"/>
    <n v="30.000025000000001"/>
    <n v="18321261.367570348"/>
    <n v="0"/>
    <n v="0"/>
    <n v="0"/>
    <n v="0"/>
    <n v="0"/>
    <n v="0"/>
    <n v="1"/>
    <n v="1"/>
    <x v="1"/>
  </r>
  <r>
    <x v="0"/>
    <x v="0"/>
    <x v="8"/>
    <m/>
    <n v="361"/>
    <m/>
    <m/>
    <n v="116546375.67"/>
    <m/>
    <n v="322843.14590027701"/>
    <m/>
    <n v="214"/>
    <m/>
    <m/>
    <n v="41"/>
    <m/>
    <m/>
    <n v="16"/>
    <m/>
    <m/>
    <n v="0"/>
    <n v="0"/>
    <n v="0"/>
    <n v="0"/>
    <n v="0"/>
    <n v="0"/>
    <n v="0.79778400000000005"/>
    <n v="0.70859499999999997"/>
    <n v="0"/>
    <n v="0"/>
    <n v="0"/>
    <n v="0"/>
    <n v="0"/>
    <n v="0"/>
    <n v="18.746388400000001"/>
    <n v="41.53"/>
    <m/>
    <n v="90"/>
    <n v="0.39119999999999999"/>
    <n v="171489628.88999999"/>
    <n v="0"/>
    <n v="16"/>
    <n v="116546375.67"/>
    <x v="0"/>
    <x v="0"/>
    <x v="0"/>
    <n v="2184823624.9221306"/>
    <n v="4840170981.5750999"/>
    <n v="67086742.821767993"/>
    <n v="0"/>
    <n v="0"/>
    <n v="0"/>
    <n v="0"/>
    <n v="288.000024"/>
    <n v="82584179.067883655"/>
    <n v="0"/>
    <n v="0"/>
    <n v="0"/>
    <n v="0"/>
    <n v="0"/>
    <n v="0"/>
    <n v="1"/>
    <n v="1"/>
    <x v="2"/>
  </r>
  <r>
    <x v="0"/>
    <x v="0"/>
    <x v="9"/>
    <m/>
    <n v="637"/>
    <m/>
    <m/>
    <n v="344671463.56999999"/>
    <m/>
    <n v="541085.50010989001"/>
    <m/>
    <n v="389"/>
    <m/>
    <m/>
    <n v="144"/>
    <m/>
    <m/>
    <n v="19"/>
    <m/>
    <m/>
    <n v="0"/>
    <n v="0"/>
    <n v="0"/>
    <n v="0"/>
    <n v="0"/>
    <n v="0"/>
    <n v="0.89010999999999996"/>
    <n v="0.78275700000000004"/>
    <n v="0"/>
    <n v="0"/>
    <n v="0"/>
    <n v="0"/>
    <n v="0"/>
    <n v="0"/>
    <n v="18.3147354"/>
    <n v="44.9"/>
    <m/>
    <n v="85"/>
    <n v="0.44409999999999999"/>
    <n v="542780102.29999995"/>
    <n v="0"/>
    <n v="19"/>
    <n v="344671463.56999993"/>
    <x v="0"/>
    <x v="0"/>
    <x v="0"/>
    <n v="6312566655.2152891"/>
    <n v="15475748714.292999"/>
    <n v="241048643.43142998"/>
    <n v="0"/>
    <n v="0"/>
    <n v="0"/>
    <n v="0"/>
    <n v="567.00006999999994"/>
    <n v="269794000.80966252"/>
    <n v="0"/>
    <n v="0"/>
    <n v="0"/>
    <n v="0"/>
    <n v="0"/>
    <n v="0"/>
    <n v="1"/>
    <n v="1"/>
    <x v="4"/>
  </r>
  <r>
    <x v="0"/>
    <x v="0"/>
    <x v="10"/>
    <m/>
    <n v="293"/>
    <m/>
    <m/>
    <n v="152045651.99000001"/>
    <m/>
    <n v="518927.13989761099"/>
    <m/>
    <n v="141"/>
    <m/>
    <m/>
    <n v="107"/>
    <m/>
    <m/>
    <n v="9"/>
    <m/>
    <m/>
    <n v="0"/>
    <n v="0"/>
    <n v="4.2802E-2"/>
    <n v="3.6454E-2"/>
    <n v="0"/>
    <n v="0"/>
    <n v="0.80887399999999998"/>
    <n v="0.73801300000000003"/>
    <n v="0"/>
    <n v="0"/>
    <n v="0"/>
    <n v="0"/>
    <n v="0"/>
    <n v="0"/>
    <n v="18.163530000000002"/>
    <n v="45.85"/>
    <m/>
    <n v="36"/>
    <n v="0.43980000000000002"/>
    <n v="236066150.88999999"/>
    <n v="0"/>
    <n v="9"/>
    <n v="152045651.99000001"/>
    <x v="0"/>
    <x v="0"/>
    <x v="0"/>
    <n v="2761685761.2899251"/>
    <n v="6971293143.7415009"/>
    <n v="103821893.161422"/>
    <n v="12.540986"/>
    <n v="5542672.1976434607"/>
    <n v="0"/>
    <n v="0"/>
    <n v="237.00008199999999"/>
    <n v="112211667.76209588"/>
    <n v="0"/>
    <n v="0"/>
    <n v="0"/>
    <n v="0"/>
    <n v="0"/>
    <n v="0"/>
    <n v="1"/>
    <n v="1"/>
    <x v="0"/>
  </r>
  <r>
    <x v="0"/>
    <x v="0"/>
    <x v="11"/>
    <m/>
    <n v="763"/>
    <m/>
    <m/>
    <n v="283543926.83999997"/>
    <m/>
    <n v="371617.20424639602"/>
    <m/>
    <n v="512"/>
    <m/>
    <m/>
    <n v="142"/>
    <m/>
    <m/>
    <n v="8"/>
    <m/>
    <m/>
    <n v="0"/>
    <n v="0"/>
    <n v="0"/>
    <n v="0"/>
    <n v="0"/>
    <n v="0"/>
    <n v="0.73263400000000001"/>
    <n v="0.72774499999999998"/>
    <n v="0"/>
    <n v="0"/>
    <n v="0"/>
    <n v="0"/>
    <n v="0"/>
    <n v="0"/>
    <n v="18.377870000000001"/>
    <n v="42.62"/>
    <m/>
    <n v="101"/>
    <n v="0.45340000000000003"/>
    <n v="447837305.75999999"/>
    <n v="0"/>
    <n v="8"/>
    <n v="283543926.84000015"/>
    <x v="0"/>
    <x v="0"/>
    <x v="0"/>
    <n v="5210933426.7550306"/>
    <n v="12084642161.920797"/>
    <n v="203049434.431584"/>
    <n v="0"/>
    <n v="0"/>
    <n v="0"/>
    <n v="0"/>
    <n v="558.99974199999997"/>
    <n v="206347675.03817576"/>
    <n v="0"/>
    <n v="0"/>
    <n v="0"/>
    <n v="0"/>
    <n v="0"/>
    <n v="0"/>
    <n v="1"/>
    <n v="1"/>
    <x v="5"/>
  </r>
  <r>
    <x v="0"/>
    <x v="0"/>
    <x v="12"/>
    <m/>
    <n v="2392"/>
    <m/>
    <m/>
    <n v="856936070.39999998"/>
    <m/>
    <n v="358250.865551839"/>
    <m/>
    <n v="1601"/>
    <m/>
    <m/>
    <n v="293"/>
    <m/>
    <m/>
    <n v="18"/>
    <m/>
    <m/>
    <n v="0"/>
    <n v="0"/>
    <n v="9.9369999999999997E-3"/>
    <n v="1.0370000000000001E-2"/>
    <n v="0"/>
    <n v="0"/>
    <n v="0.78637100000000004"/>
    <n v="0.76396799999999998"/>
    <n v="0"/>
    <n v="0"/>
    <n v="0"/>
    <n v="0"/>
    <n v="0"/>
    <n v="0"/>
    <n v="17.907030599999999"/>
    <n v="39.409999999999997"/>
    <m/>
    <n v="480"/>
    <n v="0.43840000000000001"/>
    <n v="1360703934.9300001"/>
    <n v="0"/>
    <n v="18"/>
    <n v="856936070.3999989"/>
    <x v="0"/>
    <x v="0"/>
    <x v="0"/>
    <n v="15345180434.896553"/>
    <n v="33771850534.463997"/>
    <n v="596532605.07331204"/>
    <n v="23.769303999999998"/>
    <n v="8886427.0500480011"/>
    <n v="0"/>
    <n v="0"/>
    <n v="1880.9994320000001"/>
    <n v="654671735.83134711"/>
    <n v="0"/>
    <n v="0"/>
    <n v="0"/>
    <n v="0"/>
    <n v="0"/>
    <n v="0"/>
    <n v="1"/>
    <n v="1"/>
    <x v="3"/>
  </r>
  <r>
    <x v="0"/>
    <x v="0"/>
    <x v="13"/>
    <m/>
    <n v="937"/>
    <m/>
    <m/>
    <n v="326623556.86000001"/>
    <m/>
    <n v="348584.37231590197"/>
    <m/>
    <n v="734"/>
    <m/>
    <m/>
    <n v="104"/>
    <m/>
    <m/>
    <n v="4"/>
    <m/>
    <m/>
    <n v="0"/>
    <n v="0"/>
    <n v="0"/>
    <n v="0"/>
    <n v="0"/>
    <n v="0"/>
    <n v="0.84098200000000001"/>
    <n v="0.78647299999999998"/>
    <n v="0"/>
    <n v="0"/>
    <n v="0"/>
    <n v="0"/>
    <n v="0"/>
    <n v="0"/>
    <n v="18.235315"/>
    <n v="39.9"/>
    <m/>
    <n v="95"/>
    <n v="0.41689999999999999"/>
    <n v="487544965.31"/>
    <n v="0"/>
    <n v="4"/>
    <n v="326623556.86000013"/>
    <x v="0"/>
    <x v="0"/>
    <x v="0"/>
    <n v="5956083445.7625113"/>
    <n v="13032279918.714001"/>
    <n v="203257496.03773901"/>
    <n v="0"/>
    <n v="0"/>
    <n v="0"/>
    <n v="0"/>
    <n v="788.000134"/>
    <n v="256880608.63435477"/>
    <n v="0"/>
    <n v="0"/>
    <n v="0"/>
    <n v="0"/>
    <n v="0"/>
    <n v="0"/>
    <n v="1"/>
    <n v="1"/>
    <x v="2"/>
  </r>
  <r>
    <x v="0"/>
    <x v="0"/>
    <x v="14"/>
    <m/>
    <n v="486"/>
    <m/>
    <m/>
    <n v="206754087.78"/>
    <m/>
    <n v="425419.93370370398"/>
    <m/>
    <n v="347"/>
    <m/>
    <m/>
    <n v="84"/>
    <m/>
    <m/>
    <n v="17"/>
    <m/>
    <m/>
    <n v="0"/>
    <n v="0"/>
    <n v="2.2321000000000001E-2"/>
    <n v="2.2523000000000001E-2"/>
    <n v="0"/>
    <n v="0"/>
    <n v="0.74897100000000005"/>
    <n v="0.64957500000000001"/>
    <n v="0"/>
    <n v="0"/>
    <n v="0"/>
    <n v="0"/>
    <n v="0"/>
    <n v="0"/>
    <n v="18.169781400000002"/>
    <n v="43.11"/>
    <m/>
    <n v="38"/>
    <n v="0.4365"/>
    <n v="332453967.29000002"/>
    <n v="0"/>
    <n v="17"/>
    <n v="206754087.78000012"/>
    <x v="0"/>
    <x v="0"/>
    <x v="0"/>
    <n v="3756676578.5190115"/>
    <n v="8913168724.1958008"/>
    <n v="145116156.722085"/>
    <n v="10.848006"/>
    <n v="4656722.3190689404"/>
    <n v="0"/>
    <n v="0"/>
    <n v="363.99990600000001"/>
    <n v="134302286.56969351"/>
    <n v="0"/>
    <n v="0"/>
    <n v="0"/>
    <n v="0"/>
    <n v="0"/>
    <n v="0"/>
    <n v="1"/>
    <n v="1"/>
    <x v="6"/>
  </r>
  <r>
    <x v="0"/>
    <x v="0"/>
    <x v="15"/>
    <m/>
    <n v="2030"/>
    <m/>
    <m/>
    <n v="608510731.82000005"/>
    <m/>
    <n v="299758.98119211802"/>
    <m/>
    <n v="1609"/>
    <m/>
    <m/>
    <n v="124"/>
    <m/>
    <m/>
    <n v="29"/>
    <m/>
    <m/>
    <n v="0"/>
    <n v="0"/>
    <n v="5.6800000000000004E-4"/>
    <n v="7.4799999999999997E-4"/>
    <n v="4.9299999999999995E-4"/>
    <n v="1.7489999999999999E-3"/>
    <n v="0.76699499999999998"/>
    <n v="0.69731200000000004"/>
    <n v="0"/>
    <n v="0"/>
    <n v="0"/>
    <n v="0"/>
    <n v="0"/>
    <n v="0"/>
    <n v="18.490157700000001"/>
    <n v="40.159999999999997"/>
    <m/>
    <n v="268"/>
    <n v="0.46589999999999998"/>
    <n v="1005741606.42"/>
    <n v="0"/>
    <n v="29"/>
    <n v="608510731.81999958"/>
    <x v="0"/>
    <x v="0"/>
    <x v="0"/>
    <n v="11251459393.494209"/>
    <n v="24437790989.891201"/>
    <n v="468575014.43107796"/>
    <n v="1.1530400000000001"/>
    <n v="455166.02740136004"/>
    <n v="1.0007899999999998"/>
    <n v="1064285.2699531801"/>
    <n v="1556.9998499999999"/>
    <n v="424321835.4268679"/>
    <n v="0"/>
    <n v="0"/>
    <n v="0"/>
    <n v="0"/>
    <n v="0"/>
    <n v="0"/>
    <n v="1"/>
    <n v="1"/>
    <x v="0"/>
  </r>
  <r>
    <x v="0"/>
    <x v="0"/>
    <x v="16"/>
    <m/>
    <n v="12"/>
    <m/>
    <m/>
    <n v="7275079.7000000002"/>
    <m/>
    <n v="606256.64166666695"/>
    <m/>
    <m/>
    <m/>
    <m/>
    <m/>
    <m/>
    <m/>
    <m/>
    <m/>
    <m/>
    <n v="0"/>
    <n v="0"/>
    <m/>
    <m/>
    <m/>
    <m/>
    <m/>
    <m/>
    <m/>
    <m/>
    <m/>
    <m/>
    <m/>
    <m/>
    <m/>
    <m/>
    <m/>
    <n v="0"/>
    <m/>
    <m/>
    <n v="0"/>
    <n v="0"/>
    <n v="7275079.700000003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1"/>
    <n v="1"/>
    <x v="7"/>
  </r>
  <r>
    <x v="0"/>
    <x v="0"/>
    <x v="17"/>
    <m/>
    <n v="605"/>
    <m/>
    <m/>
    <n v="186732998.11000001"/>
    <m/>
    <n v="308649.58365289302"/>
    <m/>
    <n v="353"/>
    <m/>
    <m/>
    <n v="87"/>
    <m/>
    <m/>
    <n v="14"/>
    <m/>
    <m/>
    <n v="0"/>
    <n v="0"/>
    <n v="2.2030000000000001E-3"/>
    <n v="2.4529999999999999E-3"/>
    <n v="0"/>
    <n v="0"/>
    <n v="0.69421500000000003"/>
    <n v="0.60636999999999996"/>
    <n v="0"/>
    <n v="0"/>
    <n v="0"/>
    <n v="0"/>
    <n v="0"/>
    <n v="0"/>
    <n v="18.417108500000001"/>
    <n v="40.97"/>
    <m/>
    <n v="151"/>
    <n v="0.4335"/>
    <n v="295061669.00999999"/>
    <n v="0"/>
    <n v="14"/>
    <n v="186732998.11000028"/>
    <x v="0"/>
    <x v="0"/>
    <x v="0"/>
    <n v="3439081886.7221656"/>
    <n v="7650450932.5667"/>
    <n v="127909233.515835"/>
    <n v="1.3328150000000001"/>
    <n v="458056.04436383001"/>
    <n v="0"/>
    <n v="0"/>
    <n v="420.00007500000004"/>
    <n v="113229288.0639607"/>
    <n v="0"/>
    <n v="0"/>
    <n v="0"/>
    <n v="0"/>
    <n v="0"/>
    <n v="0"/>
    <n v="1"/>
    <n v="1"/>
    <x v="0"/>
  </r>
  <r>
    <x v="0"/>
    <x v="0"/>
    <x v="18"/>
    <m/>
    <n v="850"/>
    <m/>
    <m/>
    <n v="425527041.88"/>
    <m/>
    <n v="500620.04927058797"/>
    <m/>
    <n v="605"/>
    <m/>
    <m/>
    <n v="164"/>
    <m/>
    <m/>
    <n v="39"/>
    <m/>
    <m/>
    <n v="0"/>
    <n v="0"/>
    <n v="0"/>
    <n v="0"/>
    <n v="0"/>
    <n v="0"/>
    <n v="0.67294100000000001"/>
    <n v="0.61160000000000003"/>
    <n v="0"/>
    <n v="0"/>
    <n v="0"/>
    <n v="0"/>
    <n v="0"/>
    <n v="0"/>
    <n v="18.451528199999998"/>
    <n v="43.94"/>
    <m/>
    <n v="42"/>
    <n v="0.43140000000000001"/>
    <n v="680451570.41999996"/>
    <n v="0"/>
    <n v="39"/>
    <n v="425527041.87999976"/>
    <x v="0"/>
    <x v="0"/>
    <x v="0"/>
    <n v="7851624213.1114006"/>
    <n v="18697658220.207199"/>
    <n v="293546807.47918797"/>
    <n v="0"/>
    <n v="0"/>
    <n v="0"/>
    <n v="0"/>
    <n v="571.99985000000004"/>
    <n v="260252338.81380802"/>
    <n v="0"/>
    <n v="0"/>
    <n v="0"/>
    <n v="0"/>
    <n v="0"/>
    <n v="0"/>
    <n v="1"/>
    <n v="1"/>
    <x v="5"/>
  </r>
  <r>
    <x v="0"/>
    <x v="0"/>
    <x v="19"/>
    <m/>
    <n v="986"/>
    <m/>
    <m/>
    <n v="585307823.76999998"/>
    <m/>
    <n v="593618.48252535495"/>
    <m/>
    <n v="727"/>
    <m/>
    <m/>
    <n v="166"/>
    <m/>
    <m/>
    <n v="12"/>
    <m/>
    <m/>
    <n v="0"/>
    <n v="0"/>
    <n v="0"/>
    <n v="0"/>
    <n v="0"/>
    <n v="0"/>
    <n v="0.78397600000000001"/>
    <n v="0.72658699999999998"/>
    <n v="0"/>
    <n v="0"/>
    <n v="0"/>
    <n v="0"/>
    <n v="0"/>
    <n v="0"/>
    <n v="17.1233383"/>
    <n v="44.09"/>
    <m/>
    <n v="81"/>
    <n v="0.37569999999999998"/>
    <n v="827302872.48000002"/>
    <n v="0"/>
    <n v="12"/>
    <n v="585307823.76999998"/>
    <x v="0"/>
    <x v="0"/>
    <x v="0"/>
    <n v="10022423876.050491"/>
    <n v="25806221950.019302"/>
    <n v="310817689.190736"/>
    <n v="0"/>
    <n v="0"/>
    <n v="0"/>
    <n v="0"/>
    <n v="773.00033600000006"/>
    <n v="425277055.74957299"/>
    <n v="0"/>
    <n v="0"/>
    <n v="0"/>
    <n v="0"/>
    <n v="0"/>
    <n v="0"/>
    <n v="1"/>
    <n v="1"/>
    <x v="6"/>
  </r>
  <r>
    <x v="0"/>
    <x v="0"/>
    <x v="20"/>
    <m/>
    <n v="500"/>
    <m/>
    <m/>
    <n v="190773695.02000001"/>
    <m/>
    <n v="381547.39004000003"/>
    <m/>
    <n v="335"/>
    <m/>
    <m/>
    <n v="111"/>
    <m/>
    <m/>
    <n v="9"/>
    <m/>
    <m/>
    <n v="0"/>
    <n v="0"/>
    <n v="0"/>
    <n v="0"/>
    <n v="0"/>
    <n v="0"/>
    <n v="0.74"/>
    <n v="0.61488799999999999"/>
    <n v="0"/>
    <n v="0"/>
    <n v="0"/>
    <n v="0"/>
    <n v="0"/>
    <n v="0"/>
    <n v="18.995056600000002"/>
    <n v="42.55"/>
    <m/>
    <n v="45"/>
    <n v="0.42049999999999998"/>
    <n v="291610112.69"/>
    <n v="0"/>
    <n v="9"/>
    <n v="190773695.02000001"/>
    <x v="0"/>
    <x v="0"/>
    <x v="0"/>
    <n v="3623757134.6960387"/>
    <n v="8117420723.1009998"/>
    <n v="122622052.386145"/>
    <n v="0"/>
    <n v="0"/>
    <n v="0"/>
    <n v="0"/>
    <n v="370"/>
    <n v="117304455.78345777"/>
    <n v="0"/>
    <n v="0"/>
    <n v="0"/>
    <n v="0"/>
    <n v="0"/>
    <n v="0"/>
    <n v="1"/>
    <n v="1"/>
    <x v="5"/>
  </r>
  <r>
    <x v="0"/>
    <x v="0"/>
    <x v="21"/>
    <m/>
    <n v="1611"/>
    <m/>
    <m/>
    <n v="788788909.35000002"/>
    <m/>
    <n v="489626.883519553"/>
    <m/>
    <n v="1072"/>
    <m/>
    <m/>
    <n v="304"/>
    <m/>
    <m/>
    <n v="36"/>
    <m/>
    <m/>
    <n v="0"/>
    <n v="0"/>
    <n v="0"/>
    <n v="0"/>
    <n v="0"/>
    <n v="0"/>
    <n v="0.72501599999999999"/>
    <n v="0.666211"/>
    <n v="0"/>
    <n v="0"/>
    <n v="0"/>
    <n v="0"/>
    <n v="0"/>
    <n v="0"/>
    <n v="17.930824399999999"/>
    <n v="44.96"/>
    <m/>
    <n v="199"/>
    <n v="0.40029999999999999"/>
    <n v="1173881616.3099999"/>
    <n v="0"/>
    <n v="36"/>
    <n v="788788909.3499999"/>
    <x v="0"/>
    <x v="0"/>
    <x v="0"/>
    <n v="14143635422.222368"/>
    <n v="35463949364.375999"/>
    <n v="469904811.00889295"/>
    <n v="0"/>
    <n v="0"/>
    <n v="0"/>
    <n v="0"/>
    <n v="1168.0007760000001"/>
    <n v="525499848.08697289"/>
    <n v="0"/>
    <n v="0"/>
    <n v="0"/>
    <n v="0"/>
    <n v="0"/>
    <n v="0"/>
    <n v="1"/>
    <n v="1"/>
    <x v="6"/>
  </r>
  <r>
    <x v="0"/>
    <x v="0"/>
    <x v="22"/>
    <m/>
    <n v="1075"/>
    <m/>
    <m/>
    <n v="529897638.69"/>
    <m/>
    <n v="492928.03599069797"/>
    <m/>
    <n v="814"/>
    <m/>
    <m/>
    <n v="194"/>
    <m/>
    <m/>
    <n v="9"/>
    <m/>
    <m/>
    <n v="0"/>
    <n v="0"/>
    <n v="2.1631999999999998E-2"/>
    <n v="1.8942000000000001E-2"/>
    <n v="0"/>
    <n v="0"/>
    <n v="0.79813999999999996"/>
    <n v="0.72524900000000003"/>
    <n v="0"/>
    <n v="0"/>
    <n v="0"/>
    <n v="0"/>
    <n v="0"/>
    <n v="0"/>
    <n v="17.3661447"/>
    <n v="42.48"/>
    <m/>
    <n v="58"/>
    <n v="0.42449999999999999"/>
    <n v="810522522.79999995"/>
    <n v="0"/>
    <n v="9"/>
    <n v="529897638.6900003"/>
    <x v="0"/>
    <x v="0"/>
    <x v="0"/>
    <n v="9202279069.6788578"/>
    <n v="22510051691.551197"/>
    <n v="344066810.92859995"/>
    <n v="23.254399999999997"/>
    <n v="10037321.072065981"/>
    <n v="0"/>
    <n v="0"/>
    <n v="858.00049999999999"/>
    <n v="384307732.56228381"/>
    <n v="0"/>
    <n v="0"/>
    <n v="0"/>
    <n v="0"/>
    <n v="0"/>
    <n v="0"/>
    <n v="1"/>
    <n v="1"/>
    <x v="6"/>
  </r>
  <r>
    <x v="0"/>
    <x v="0"/>
    <x v="23"/>
    <m/>
    <n v="505"/>
    <m/>
    <m/>
    <n v="207992118.86000001"/>
    <m/>
    <n v="411865.58190098999"/>
    <m/>
    <n v="419"/>
    <m/>
    <m/>
    <n v="36"/>
    <m/>
    <m/>
    <n v="22"/>
    <m/>
    <m/>
    <n v="0"/>
    <n v="0"/>
    <n v="0.111111"/>
    <n v="0.111979"/>
    <n v="0"/>
    <n v="0"/>
    <n v="0.79603999999999997"/>
    <n v="0.73629900000000004"/>
    <n v="0"/>
    <n v="0"/>
    <n v="0"/>
    <n v="0"/>
    <n v="0"/>
    <n v="0"/>
    <n v="17.6553687"/>
    <n v="42.07"/>
    <m/>
    <n v="28"/>
    <n v="0.43669999999999998"/>
    <n v="329623048.02999997"/>
    <n v="0"/>
    <n v="22"/>
    <n v="207992118.85999995"/>
    <x v="0"/>
    <x v="0"/>
    <x v="0"/>
    <n v="3672177545.1675239"/>
    <n v="8750228440.4402008"/>
    <n v="143946385.07470098"/>
    <n v="56.111055"/>
    <n v="23290749.477823939"/>
    <n v="0"/>
    <n v="0"/>
    <n v="402.00020000000001"/>
    <n v="153144389.12449917"/>
    <n v="0"/>
    <n v="0"/>
    <n v="0"/>
    <n v="0"/>
    <n v="0"/>
    <n v="0"/>
    <n v="1"/>
    <n v="1"/>
    <x v="5"/>
  </r>
  <r>
    <x v="0"/>
    <x v="0"/>
    <x v="24"/>
    <m/>
    <n v="587"/>
    <m/>
    <m/>
    <n v="211460002.91"/>
    <m/>
    <n v="360238.50580919901"/>
    <m/>
    <n v="434"/>
    <m/>
    <m/>
    <n v="57"/>
    <m/>
    <m/>
    <n v="9"/>
    <m/>
    <m/>
    <n v="0"/>
    <n v="0"/>
    <n v="0.08"/>
    <n v="8.5056000000000007E-2"/>
    <n v="0"/>
    <n v="0"/>
    <n v="0.70357800000000004"/>
    <n v="0.58704400000000001"/>
    <n v="2E-3"/>
    <n v="8.7500000000000002E-4"/>
    <n v="0"/>
    <n v="0"/>
    <n v="0"/>
    <n v="0"/>
    <n v="18.8388186"/>
    <n v="39.64"/>
    <m/>
    <n v="87"/>
    <n v="0.39960000000000001"/>
    <n v="323584495.55000001"/>
    <n v="0"/>
    <n v="9"/>
    <n v="211460002.90999982"/>
    <x v="0"/>
    <x v="0"/>
    <x v="0"/>
    <n v="3983656635.9769621"/>
    <n v="8382274515.3523998"/>
    <n v="129304364.42178001"/>
    <n v="46.96"/>
    <n v="17985942.007512961"/>
    <n v="0"/>
    <n v="0"/>
    <n v="413.00028600000002"/>
    <n v="124136325.94829804"/>
    <n v="1.1739999999999999"/>
    <n v="185027.50254625001"/>
    <n v="0"/>
    <n v="0"/>
    <n v="0"/>
    <n v="0"/>
    <n v="1"/>
    <n v="1"/>
    <x v="3"/>
  </r>
  <r>
    <x v="0"/>
    <x v="0"/>
    <x v="25"/>
    <m/>
    <n v="985"/>
    <m/>
    <m/>
    <n v="333231633.12"/>
    <m/>
    <n v="338306.22651776602"/>
    <m/>
    <n v="798"/>
    <m/>
    <m/>
    <n v="113"/>
    <m/>
    <m/>
    <n v="7"/>
    <m/>
    <m/>
    <n v="0"/>
    <n v="0"/>
    <n v="3.5948000000000001E-2"/>
    <n v="3.8623999999999999E-2"/>
    <n v="0"/>
    <n v="0"/>
    <n v="0.73197999999999996"/>
    <n v="0.65896999999999994"/>
    <n v="0"/>
    <n v="0"/>
    <n v="0"/>
    <n v="0"/>
    <n v="0"/>
    <n v="0"/>
    <n v="18.4855248"/>
    <n v="41.18"/>
    <m/>
    <n v="67"/>
    <n v="0.46150000000000002"/>
    <n v="557631649.62"/>
    <n v="0"/>
    <n v="7"/>
    <n v="333231633.11999953"/>
    <x v="0"/>
    <x v="0"/>
    <x v="0"/>
    <n v="6159961618.1842613"/>
    <n v="13722478651.881599"/>
    <n v="257347006.29963002"/>
    <n v="35.40878"/>
    <n v="12870738.59762688"/>
    <n v="0"/>
    <n v="0"/>
    <n v="721.00029999999992"/>
    <n v="219589649.27708638"/>
    <n v="0"/>
    <n v="0"/>
    <n v="0"/>
    <n v="0"/>
    <n v="0"/>
    <n v="0"/>
    <n v="1"/>
    <n v="1"/>
    <x v="6"/>
  </r>
  <r>
    <x v="0"/>
    <x v="0"/>
    <x v="26"/>
    <m/>
    <n v="314"/>
    <m/>
    <m/>
    <n v="125746409.06999999"/>
    <m/>
    <n v="400466.270923567"/>
    <m/>
    <n v="239"/>
    <m/>
    <m/>
    <n v="57"/>
    <m/>
    <m/>
    <n v="2"/>
    <m/>
    <m/>
    <n v="0"/>
    <n v="0"/>
    <n v="5.7047E-2"/>
    <n v="6.0116999999999997E-2"/>
    <n v="0"/>
    <n v="0"/>
    <n v="0.74203799999999998"/>
    <n v="0.69747099999999995"/>
    <n v="0"/>
    <n v="0"/>
    <n v="0"/>
    <n v="0"/>
    <n v="0"/>
    <n v="0"/>
    <n v="18.126815499999999"/>
    <n v="43.28"/>
    <m/>
    <n v="16"/>
    <n v="0.4073"/>
    <n v="190876542.5"/>
    <n v="0"/>
    <n v="2"/>
    <n v="125746409.07000004"/>
    <x v="0"/>
    <x v="0"/>
    <x v="0"/>
    <n v="2279381956.9994164"/>
    <n v="5442304584.5495996"/>
    <n v="77744015.760250002"/>
    <n v="17.912758"/>
    <n v="7559496.8740611896"/>
    <n v="0"/>
    <n v="0"/>
    <n v="232.999932"/>
    <n v="87704473.680461958"/>
    <n v="0"/>
    <n v="0"/>
    <n v="0"/>
    <n v="0"/>
    <n v="0"/>
    <n v="0"/>
    <n v="1"/>
    <n v="1"/>
    <x v="3"/>
  </r>
  <r>
    <x v="0"/>
    <x v="0"/>
    <x v="27"/>
    <m/>
    <n v="484"/>
    <m/>
    <m/>
    <n v="198516063.83000001"/>
    <m/>
    <n v="410157.15667355398"/>
    <m/>
    <n v="377"/>
    <m/>
    <m/>
    <n v="60"/>
    <m/>
    <m/>
    <n v="17"/>
    <m/>
    <m/>
    <n v="0"/>
    <n v="0"/>
    <n v="0"/>
    <n v="0"/>
    <n v="0"/>
    <n v="0"/>
    <n v="0.78305800000000003"/>
    <n v="0.65758499999999998"/>
    <n v="0"/>
    <n v="0"/>
    <n v="0"/>
    <n v="0"/>
    <n v="0"/>
    <n v="0"/>
    <n v="18.587691499999998"/>
    <n v="42.25"/>
    <m/>
    <n v="30"/>
    <n v="0.4612"/>
    <n v="333258462.73000002"/>
    <n v="0"/>
    <n v="17"/>
    <n v="198516063.83000013"/>
    <x v="0"/>
    <x v="0"/>
    <x v="0"/>
    <n v="3689955352.2663484"/>
    <n v="8387303696.8175001"/>
    <n v="153698803.011076"/>
    <n v="0"/>
    <n v="0"/>
    <n v="0"/>
    <n v="0"/>
    <n v="379.00007199999999"/>
    <n v="130541185.83365056"/>
    <n v="0"/>
    <n v="0"/>
    <n v="0"/>
    <n v="0"/>
    <n v="0"/>
    <n v="0"/>
    <n v="1"/>
    <n v="1"/>
    <x v="4"/>
  </r>
  <r>
    <x v="0"/>
    <x v="0"/>
    <x v="28"/>
    <m/>
    <n v="375"/>
    <m/>
    <m/>
    <n v="171093055.63999999"/>
    <m/>
    <n v="456248.14837333298"/>
    <m/>
    <n v="276"/>
    <m/>
    <m/>
    <n v="73"/>
    <m/>
    <m/>
    <n v="11"/>
    <m/>
    <m/>
    <n v="0"/>
    <n v="0"/>
    <n v="6.1110999999999999E-2"/>
    <n v="5.2377E-2"/>
    <n v="2.6670000000000001E-3"/>
    <n v="2.6809999999999998E-3"/>
    <n v="0.63466699999999998"/>
    <n v="0.55344000000000004"/>
    <n v="0"/>
    <n v="0"/>
    <n v="0"/>
    <n v="0"/>
    <n v="0"/>
    <n v="0"/>
    <n v="18.247930400000001"/>
    <n v="42.47"/>
    <m/>
    <n v="15"/>
    <n v="0.43840000000000001"/>
    <n v="281269267.22000003"/>
    <n v="0"/>
    <n v="11"/>
    <n v="171093055.63999987"/>
    <x v="0"/>
    <x v="0"/>
    <x v="0"/>
    <n v="3122094171.2420473"/>
    <n v="7266322073.0307989"/>
    <n v="123308446.74924801"/>
    <n v="22.916625"/>
    <n v="8961340.9752562791"/>
    <n v="1.0001249999999999"/>
    <n v="458700.48217083991"/>
    <n v="238.000125"/>
    <n v="94689740.713401601"/>
    <n v="0"/>
    <n v="0"/>
    <n v="0"/>
    <n v="0"/>
    <n v="0"/>
    <n v="0"/>
    <n v="1"/>
    <n v="1"/>
    <x v="2"/>
  </r>
  <r>
    <x v="0"/>
    <x v="0"/>
    <x v="29"/>
    <m/>
    <n v="208"/>
    <m/>
    <m/>
    <n v="77867951.079999998"/>
    <m/>
    <n v="374365.149423077"/>
    <m/>
    <n v="174"/>
    <m/>
    <m/>
    <n v="23"/>
    <m/>
    <m/>
    <n v="4"/>
    <m/>
    <m/>
    <n v="0"/>
    <n v="0"/>
    <n v="0"/>
    <n v="0"/>
    <n v="0"/>
    <n v="0"/>
    <n v="0.62980800000000003"/>
    <n v="0.59404100000000004"/>
    <n v="0"/>
    <n v="0"/>
    <n v="0"/>
    <n v="0"/>
    <n v="0"/>
    <n v="0"/>
    <n v="19.497179899999999"/>
    <n v="43.89"/>
    <m/>
    <n v="7"/>
    <n v="0.40550000000000003"/>
    <n v="118531396.73"/>
    <n v="0"/>
    <n v="4"/>
    <n v="77867951.080000013"/>
    <x v="0"/>
    <x v="0"/>
    <x v="0"/>
    <n v="1518205450.6511593"/>
    <n v="3417624372.9011998"/>
    <n v="48064481.374015003"/>
    <n v="0"/>
    <n v="0"/>
    <n v="0"/>
    <n v="0"/>
    <n v="131.00006400000001"/>
    <n v="46256755.527514279"/>
    <n v="0"/>
    <n v="0"/>
    <n v="0"/>
    <n v="0"/>
    <n v="0"/>
    <n v="0"/>
    <n v="1"/>
    <n v="1"/>
    <x v="2"/>
  </r>
  <r>
    <x v="0"/>
    <x v="0"/>
    <x v="30"/>
    <m/>
    <n v="625"/>
    <m/>
    <m/>
    <n v="250268800.80000001"/>
    <m/>
    <n v="400430.08127999998"/>
    <m/>
    <n v="555"/>
    <m/>
    <m/>
    <n v="46"/>
    <m/>
    <m/>
    <n v="6"/>
    <m/>
    <m/>
    <n v="0"/>
    <n v="0"/>
    <n v="8.2372000000000001E-2"/>
    <n v="7.0744000000000001E-2"/>
    <n v="0"/>
    <n v="0"/>
    <n v="0.68959999999999999"/>
    <n v="0.64245799999999997"/>
    <n v="0"/>
    <n v="0"/>
    <n v="0"/>
    <n v="0"/>
    <n v="0"/>
    <n v="0"/>
    <n v="17.109566300000001"/>
    <n v="39.979999999999997"/>
    <m/>
    <n v="18"/>
    <n v="0.41760000000000003"/>
    <n v="394268832.30000001"/>
    <n v="0"/>
    <n v="6"/>
    <n v="250268800.79999998"/>
    <x v="0"/>
    <x v="0"/>
    <x v="0"/>
    <n v="4281990640.1090937"/>
    <n v="10005746655.983999"/>
    <n v="164646664.36848003"/>
    <n v="51.482500000000002"/>
    <n v="17705016.043795202"/>
    <n v="0"/>
    <n v="0"/>
    <n v="431"/>
    <n v="160787193.2243664"/>
    <n v="0"/>
    <n v="0"/>
    <n v="0"/>
    <n v="0"/>
    <n v="0"/>
    <n v="0"/>
    <n v="1"/>
    <n v="1"/>
    <x v="6"/>
  </r>
  <r>
    <x v="0"/>
    <x v="0"/>
    <x v="31"/>
    <m/>
    <n v="1071"/>
    <m/>
    <m/>
    <n v="530370540.49000001"/>
    <m/>
    <n v="495210.58869280998"/>
    <m/>
    <n v="704"/>
    <m/>
    <m/>
    <n v="292"/>
    <m/>
    <m/>
    <n v="10"/>
    <m/>
    <m/>
    <n v="0"/>
    <n v="0"/>
    <n v="0"/>
    <n v="0"/>
    <n v="0"/>
    <n v="0"/>
    <n v="0.78524700000000003"/>
    <n v="0.67443600000000004"/>
    <n v="0"/>
    <n v="0"/>
    <n v="0"/>
    <n v="0"/>
    <n v="0"/>
    <n v="0"/>
    <n v="17.7242806"/>
    <n v="44.5"/>
    <m/>
    <n v="65"/>
    <n v="0.43090000000000001"/>
    <n v="832826117.60000002"/>
    <n v="0"/>
    <n v="10"/>
    <n v="530370540.48999947"/>
    <x v="0"/>
    <x v="0"/>
    <x v="0"/>
    <n v="9400436281.6184216"/>
    <n v="23601489051.805"/>
    <n v="358864774.07384002"/>
    <n v="0"/>
    <n v="0"/>
    <n v="0"/>
    <n v="0"/>
    <n v="840.99953700000003"/>
    <n v="357700985.84591365"/>
    <n v="0"/>
    <n v="0"/>
    <n v="0"/>
    <n v="0"/>
    <n v="0"/>
    <n v="0"/>
    <n v="1"/>
    <n v="1"/>
    <x v="5"/>
  </r>
  <r>
    <x v="0"/>
    <x v="0"/>
    <x v="32"/>
    <m/>
    <n v="767"/>
    <m/>
    <m/>
    <n v="237294437.81"/>
    <m/>
    <n v="309379.97106910002"/>
    <m/>
    <n v="493"/>
    <m/>
    <m/>
    <n v="67"/>
    <m/>
    <m/>
    <n v="11"/>
    <m/>
    <m/>
    <n v="0"/>
    <n v="0"/>
    <n v="3.503E-3"/>
    <n v="4.0559999999999997E-3"/>
    <n v="1.304E-3"/>
    <n v="3.2699999999999998E-4"/>
    <n v="0.74836999999999998"/>
    <n v="0.574237"/>
    <n v="0"/>
    <n v="0"/>
    <n v="0"/>
    <n v="0"/>
    <n v="0"/>
    <n v="0"/>
    <n v="18.375359799999998"/>
    <n v="41.85"/>
    <m/>
    <n v="196"/>
    <n v="0.49280000000000002"/>
    <n v="425032433.68000001"/>
    <n v="0"/>
    <n v="11"/>
    <n v="237294437.8099997"/>
    <x v="0"/>
    <x v="0"/>
    <x v="0"/>
    <n v="4360370673.2974739"/>
    <n v="9930772222.3485012"/>
    <n v="209455983.31750402"/>
    <n v="2.686801"/>
    <n v="962466.23975735996"/>
    <n v="1.0001679999999999"/>
    <n v="77595.281163869993"/>
    <n v="573.99978999999996"/>
    <n v="136263246.08470097"/>
    <n v="0"/>
    <n v="0"/>
    <n v="0"/>
    <n v="0"/>
    <n v="0"/>
    <n v="0"/>
    <n v="1"/>
    <n v="1"/>
    <x v="4"/>
  </r>
  <r>
    <x v="0"/>
    <x v="0"/>
    <x v="33"/>
    <m/>
    <n v="5172"/>
    <m/>
    <m/>
    <n v="2656233049.5300002"/>
    <m/>
    <n v="513579.47593387502"/>
    <m/>
    <n v="3916"/>
    <m/>
    <m/>
    <n v="933"/>
    <m/>
    <m/>
    <n v="142"/>
    <m/>
    <m/>
    <n v="0"/>
    <n v="0"/>
    <n v="3.0054000000000001E-2"/>
    <n v="2.7449000000000001E-2"/>
    <n v="0"/>
    <n v="0"/>
    <n v="0.79620999999999997"/>
    <n v="0.75085900000000005"/>
    <n v="0"/>
    <n v="0"/>
    <n v="0"/>
    <n v="0"/>
    <n v="0"/>
    <n v="0"/>
    <n v="17.445035499999999"/>
    <n v="41.04"/>
    <m/>
    <n v="181"/>
    <n v="0.4587"/>
    <n v="4331986144.2200003"/>
    <n v="0"/>
    <n v="142"/>
    <n v="2656233049.5300016"/>
    <x v="0"/>
    <x v="0"/>
    <x v="0"/>
    <n v="46338079845.324112"/>
    <n v="109011804352.71121"/>
    <n v="1987082044.353714"/>
    <n v="155.439288"/>
    <n v="72910940.976548985"/>
    <n v="0"/>
    <n v="0"/>
    <n v="4117.9981200000002"/>
    <n v="1994456491.3370466"/>
    <n v="0"/>
    <n v="0"/>
    <n v="0"/>
    <n v="0"/>
    <n v="0"/>
    <n v="0"/>
    <n v="1"/>
    <n v="1"/>
    <x v="2"/>
  </r>
  <r>
    <x v="0"/>
    <x v="0"/>
    <x v="34"/>
    <m/>
    <n v="1000"/>
    <m/>
    <m/>
    <n v="551489257.24000001"/>
    <m/>
    <n v="551489.25723999995"/>
    <m/>
    <n v="674"/>
    <m/>
    <m/>
    <n v="204"/>
    <m/>
    <m/>
    <n v="28"/>
    <m/>
    <m/>
    <n v="0"/>
    <n v="0"/>
    <n v="3.6423999999999998E-2"/>
    <n v="2.8559999999999999E-2"/>
    <n v="0"/>
    <n v="0"/>
    <n v="0.73199999999999998"/>
    <n v="0.66075600000000001"/>
    <n v="0"/>
    <n v="0"/>
    <n v="0"/>
    <n v="0"/>
    <n v="0"/>
    <n v="0"/>
    <n v="17.815799500000001"/>
    <n v="42.5"/>
    <m/>
    <n v="94"/>
    <n v="0.41139999999999999"/>
    <n v="843976370.66999996"/>
    <n v="0"/>
    <n v="28"/>
    <n v="551489257.23999989"/>
    <x v="0"/>
    <x v="0"/>
    <x v="0"/>
    <n v="9825222033.3917637"/>
    <n v="23438293432.700001"/>
    <n v="347211878.89363796"/>
    <n v="36.423999999999999"/>
    <n v="15750533.186774399"/>
    <n v="0"/>
    <n v="0"/>
    <n v="732"/>
    <n v="364399835.65687346"/>
    <n v="0"/>
    <n v="0"/>
    <n v="0"/>
    <n v="0"/>
    <n v="0"/>
    <n v="0"/>
    <n v="1"/>
    <n v="1"/>
    <x v="4"/>
  </r>
  <r>
    <x v="0"/>
    <x v="0"/>
    <x v="35"/>
    <m/>
    <n v="1975"/>
    <m/>
    <m/>
    <n v="534698801.12"/>
    <m/>
    <n v="270733.570187342"/>
    <m/>
    <n v="1557"/>
    <m/>
    <m/>
    <n v="104"/>
    <m/>
    <m/>
    <n v="10"/>
    <m/>
    <m/>
    <n v="0"/>
    <n v="0"/>
    <n v="5.9800000000000001E-4"/>
    <n v="5.8900000000000001E-4"/>
    <n v="0"/>
    <n v="0"/>
    <n v="0.75038000000000005"/>
    <n v="0.63935200000000003"/>
    <n v="0"/>
    <n v="0"/>
    <n v="0"/>
    <n v="0"/>
    <n v="0"/>
    <n v="0"/>
    <n v="18.493300699999999"/>
    <n v="39.200000000000003"/>
    <m/>
    <n v="304"/>
    <n v="0.4607"/>
    <n v="899066458.50999999"/>
    <n v="0"/>
    <n v="10"/>
    <n v="534698801.12000048"/>
    <x v="0"/>
    <x v="0"/>
    <x v="0"/>
    <n v="9888345713.0416565"/>
    <n v="20960193003.904003"/>
    <n v="414199917.43555701"/>
    <n v="1.1810499999999999"/>
    <n v="314937.59385968"/>
    <n v="0"/>
    <n v="0"/>
    <n v="1482.0005000000001"/>
    <n v="341860747.89367425"/>
    <n v="0"/>
    <n v="0"/>
    <n v="0"/>
    <n v="0"/>
    <n v="0"/>
    <n v="0"/>
    <n v="1"/>
    <n v="1"/>
    <x v="4"/>
  </r>
  <r>
    <x v="0"/>
    <x v="0"/>
    <x v="36"/>
    <m/>
    <n v="311"/>
    <m/>
    <m/>
    <n v="124586635.45999999"/>
    <m/>
    <n v="400600.11401929299"/>
    <m/>
    <n v="231"/>
    <m/>
    <m/>
    <n v="57"/>
    <m/>
    <m/>
    <n v="10"/>
    <m/>
    <m/>
    <n v="0"/>
    <n v="0"/>
    <n v="6.711E-3"/>
    <n v="6.2550000000000001E-3"/>
    <n v="0"/>
    <n v="0"/>
    <n v="0.67845699999999998"/>
    <n v="0.61502100000000004"/>
    <n v="0"/>
    <n v="0"/>
    <n v="0"/>
    <n v="0"/>
    <n v="0"/>
    <n v="0"/>
    <n v="18.7404914"/>
    <n v="44.53"/>
    <m/>
    <n v="13"/>
    <n v="0.44590000000000002"/>
    <n v="203940092.78999999"/>
    <n v="0"/>
    <n v="10"/>
    <n v="124586635.46000011"/>
    <x v="0"/>
    <x v="0"/>
    <x v="0"/>
    <n v="2334814770.393065"/>
    <n v="5547842877.0338001"/>
    <n v="90936887.375061005"/>
    <n v="2.0871209999999998"/>
    <n v="779289.40480229992"/>
    <n v="0"/>
    <n v="0"/>
    <n v="211.00012699999999"/>
    <n v="76623397.127244666"/>
    <n v="0"/>
    <n v="0"/>
    <n v="0"/>
    <n v="0"/>
    <n v="0"/>
    <n v="0"/>
    <n v="1"/>
    <n v="1"/>
    <x v="0"/>
  </r>
  <r>
    <x v="0"/>
    <x v="0"/>
    <x v="37"/>
    <m/>
    <n v="712"/>
    <m/>
    <m/>
    <n v="247194319.37"/>
    <m/>
    <n v="347183.03282303398"/>
    <m/>
    <n v="607"/>
    <m/>
    <m/>
    <n v="85"/>
    <m/>
    <m/>
    <n v="2"/>
    <m/>
    <m/>
    <n v="0"/>
    <n v="0"/>
    <n v="0"/>
    <n v="0"/>
    <n v="0"/>
    <n v="0"/>
    <n v="0.72612399999999999"/>
    <n v="0.66636799999999996"/>
    <n v="0"/>
    <n v="0"/>
    <n v="0"/>
    <n v="0"/>
    <n v="0"/>
    <n v="0"/>
    <n v="18.6644763"/>
    <n v="40.1"/>
    <m/>
    <n v="18"/>
    <n v="0.4405"/>
    <n v="402305276.92000002"/>
    <n v="0"/>
    <n v="2"/>
    <n v="247194319.37000018"/>
    <x v="0"/>
    <x v="0"/>
    <x v="0"/>
    <n v="4613752515.3759966"/>
    <n v="9912492206.7370014"/>
    <n v="177215474.48326001"/>
    <n v="0"/>
    <n v="0"/>
    <n v="0"/>
    <n v="0"/>
    <n v="517.00028799999995"/>
    <n v="164722384.20994815"/>
    <n v="0"/>
    <n v="0"/>
    <n v="0"/>
    <n v="0"/>
    <n v="0"/>
    <n v="0"/>
    <n v="1"/>
    <n v="1"/>
    <x v="2"/>
  </r>
  <r>
    <x v="0"/>
    <x v="0"/>
    <x v="38"/>
    <m/>
    <n v="643"/>
    <m/>
    <m/>
    <n v="353439507.44999999"/>
    <m/>
    <n v="549672.63989113504"/>
    <m/>
    <n v="439"/>
    <m/>
    <m/>
    <n v="140"/>
    <m/>
    <m/>
    <n v="26"/>
    <m/>
    <m/>
    <n v="0"/>
    <n v="0"/>
    <n v="0"/>
    <n v="0"/>
    <n v="0"/>
    <n v="0"/>
    <n v="0.69984400000000002"/>
    <n v="0.47759699999999999"/>
    <n v="0"/>
    <n v="0"/>
    <n v="0"/>
    <n v="0"/>
    <n v="0"/>
    <n v="0"/>
    <n v="18.430567100000001"/>
    <n v="45.19"/>
    <m/>
    <n v="38"/>
    <n v="0.41120000000000001"/>
    <n v="554813707.61000001"/>
    <n v="0"/>
    <n v="26"/>
    <n v="353439507.44999981"/>
    <x v="0"/>
    <x v="0"/>
    <x v="0"/>
    <n v="6514090557.848175"/>
    <n v="15971931341.665499"/>
    <n v="228139396.56923202"/>
    <n v="0"/>
    <n v="0"/>
    <n v="0"/>
    <n v="0"/>
    <n v="449.99969200000004"/>
    <n v="168801648.43959764"/>
    <n v="0"/>
    <n v="0"/>
    <n v="0"/>
    <n v="0"/>
    <n v="0"/>
    <n v="0"/>
    <n v="1"/>
    <n v="1"/>
    <x v="2"/>
  </r>
  <r>
    <x v="0"/>
    <x v="0"/>
    <x v="39"/>
    <m/>
    <n v="250"/>
    <m/>
    <m/>
    <n v="106507274.5"/>
    <m/>
    <n v="426029.098"/>
    <m/>
    <n v="142"/>
    <m/>
    <m/>
    <n v="91"/>
    <m/>
    <m/>
    <n v="6"/>
    <m/>
    <m/>
    <n v="0"/>
    <n v="0"/>
    <n v="5.0208999999999997E-2"/>
    <n v="4.6385999999999997E-2"/>
    <n v="0"/>
    <n v="0"/>
    <n v="0.69199999999999995"/>
    <n v="0.594495"/>
    <n v="0"/>
    <n v="0"/>
    <n v="0"/>
    <n v="0"/>
    <n v="0"/>
    <n v="0"/>
    <n v="18.7228189"/>
    <n v="42.4"/>
    <m/>
    <n v="11"/>
    <n v="0.41739999999999999"/>
    <n v="168204388.00999999"/>
    <n v="0"/>
    <n v="6"/>
    <n v="106507274.5"/>
    <x v="0"/>
    <x v="0"/>
    <x v="0"/>
    <n v="1994116411.996088"/>
    <n v="4515908438.8000002"/>
    <n v="70208511.555373996"/>
    <n v="12.552249999999999"/>
    <n v="4940446.4349569995"/>
    <n v="0"/>
    <n v="0"/>
    <n v="173"/>
    <n v="63318042.153877497"/>
    <n v="0"/>
    <n v="0"/>
    <n v="0"/>
    <n v="0"/>
    <n v="0"/>
    <n v="0"/>
    <n v="1"/>
    <n v="1"/>
    <x v="0"/>
  </r>
  <r>
    <x v="0"/>
    <x v="0"/>
    <x v="40"/>
    <m/>
    <n v="1929"/>
    <m/>
    <m/>
    <n v="808439123.89999998"/>
    <m/>
    <n v="419097.52405391401"/>
    <m/>
    <n v="1530"/>
    <m/>
    <m/>
    <n v="231"/>
    <m/>
    <m/>
    <n v="18"/>
    <m/>
    <m/>
    <n v="0"/>
    <n v="0"/>
    <n v="8.9940000000000003E-3"/>
    <n v="7.6800000000000002E-3"/>
    <n v="0"/>
    <n v="0"/>
    <n v="0.74909300000000001"/>
    <n v="0.69161300000000003"/>
    <n v="0"/>
    <n v="0"/>
    <n v="0"/>
    <n v="0"/>
    <n v="0"/>
    <n v="0"/>
    <n v="18.295420499999999"/>
    <n v="42.53"/>
    <m/>
    <n v="150"/>
    <n v="0.41930000000000001"/>
    <n v="1251525042.53"/>
    <n v="0"/>
    <n v="18"/>
    <n v="808439123.9000001"/>
    <x v="0"/>
    <x v="0"/>
    <x v="0"/>
    <n v="14790733720.402098"/>
    <n v="34382915939.467003"/>
    <n v="524764450.332829"/>
    <n v="17.349426000000001"/>
    <n v="6208812.4715520004"/>
    <n v="0"/>
    <n v="0"/>
    <n v="1445.000397"/>
    <n v="559127007.79785073"/>
    <n v="0"/>
    <n v="0"/>
    <n v="0"/>
    <n v="0"/>
    <n v="0"/>
    <n v="0"/>
    <n v="1"/>
    <n v="1"/>
    <x v="2"/>
  </r>
  <r>
    <x v="0"/>
    <x v="0"/>
    <x v="41"/>
    <m/>
    <n v="552"/>
    <m/>
    <m/>
    <n v="172190217.09"/>
    <m/>
    <n v="311938.79907608702"/>
    <m/>
    <n v="340"/>
    <m/>
    <m/>
    <n v="84"/>
    <m/>
    <m/>
    <n v="14"/>
    <m/>
    <m/>
    <n v="0"/>
    <n v="0"/>
    <n v="0"/>
    <n v="0"/>
    <n v="0"/>
    <n v="0"/>
    <n v="0.69202900000000001"/>
    <n v="0.55297600000000002"/>
    <n v="0"/>
    <n v="0"/>
    <n v="0"/>
    <n v="0"/>
    <n v="0"/>
    <n v="0"/>
    <n v="19.453210500000001"/>
    <n v="42.56"/>
    <m/>
    <n v="114"/>
    <n v="0.41220000000000001"/>
    <n v="266645461.58000001"/>
    <n v="0"/>
    <n v="14"/>
    <n v="172190217.09000003"/>
    <x v="0"/>
    <x v="0"/>
    <x v="0"/>
    <n v="3349652539.0924678"/>
    <n v="7328415639.3504009"/>
    <n v="109911259.26327601"/>
    <n v="0"/>
    <n v="0"/>
    <n v="0"/>
    <n v="0"/>
    <n v="382.00000799999998"/>
    <n v="95217057.485559851"/>
    <n v="0"/>
    <n v="0"/>
    <n v="0"/>
    <n v="0"/>
    <n v="0"/>
    <n v="0"/>
    <n v="1"/>
    <n v="1"/>
    <x v="5"/>
  </r>
  <r>
    <x v="0"/>
    <x v="0"/>
    <x v="42"/>
    <m/>
    <n v="2800"/>
    <m/>
    <m/>
    <n v="1437906269.8800001"/>
    <m/>
    <n v="513537.953528571"/>
    <m/>
    <n v="1870"/>
    <m/>
    <m/>
    <n v="654"/>
    <m/>
    <m/>
    <n v="55"/>
    <m/>
    <m/>
    <n v="0"/>
    <n v="0"/>
    <n v="7.3670000000000003E-3"/>
    <n v="6.4320000000000002E-3"/>
    <n v="0"/>
    <n v="0"/>
    <n v="0.78214300000000003"/>
    <n v="0.70061899999999999"/>
    <n v="0"/>
    <n v="0"/>
    <n v="0"/>
    <n v="0"/>
    <n v="0"/>
    <n v="0"/>
    <n v="17.967836399999999"/>
    <n v="44.35"/>
    <m/>
    <n v="221"/>
    <n v="0.42709999999999998"/>
    <n v="2193310989.7800002"/>
    <n v="0"/>
    <n v="55"/>
    <n v="1437906269.8799987"/>
    <x v="0"/>
    <x v="0"/>
    <x v="0"/>
    <n v="25836064615.738091"/>
    <n v="63771143069.178009"/>
    <n v="936763123.73503804"/>
    <n v="20.627600000000001"/>
    <n v="9248613.1278681606"/>
    <n v="0"/>
    <n v="0"/>
    <n v="2190.0003999999999"/>
    <n v="1007424452.8970557"/>
    <n v="0"/>
    <n v="0"/>
    <n v="0"/>
    <n v="0"/>
    <n v="0"/>
    <n v="0"/>
    <n v="1"/>
    <n v="1"/>
    <x v="5"/>
  </r>
  <r>
    <x v="0"/>
    <x v="0"/>
    <x v="43"/>
    <m/>
    <n v="1730"/>
    <m/>
    <m/>
    <n v="692088766.24000001"/>
    <m/>
    <n v="400051.30996531801"/>
    <m/>
    <n v="1338"/>
    <m/>
    <m/>
    <n v="271"/>
    <m/>
    <m/>
    <n v="20"/>
    <m/>
    <m/>
    <n v="0"/>
    <n v="0"/>
    <n v="0"/>
    <n v="0"/>
    <n v="0"/>
    <n v="0"/>
    <n v="0.75722500000000004"/>
    <n v="0.62072499999999997"/>
    <n v="0"/>
    <n v="0"/>
    <n v="0"/>
    <n v="0"/>
    <n v="0"/>
    <n v="0"/>
    <n v="18.491431200000001"/>
    <n v="43.09"/>
    <m/>
    <n v="101"/>
    <n v="0.44840000000000002"/>
    <n v="1138543089.3099999"/>
    <n v="0"/>
    <n v="20"/>
    <n v="692088766.24000013"/>
    <x v="0"/>
    <x v="0"/>
    <x v="0"/>
    <n v="12797711805.219843"/>
    <n v="29822104937.281601"/>
    <n v="510522721.24660403"/>
    <n v="0"/>
    <n v="0"/>
    <n v="0"/>
    <n v="0"/>
    <n v="1309.9992500000001"/>
    <n v="429596799.42432398"/>
    <n v="0"/>
    <n v="0"/>
    <n v="0"/>
    <n v="0"/>
    <n v="0"/>
    <n v="0"/>
    <n v="1"/>
    <n v="1"/>
    <x v="4"/>
  </r>
  <r>
    <x v="0"/>
    <x v="0"/>
    <x v="44"/>
    <m/>
    <n v="217"/>
    <m/>
    <m/>
    <n v="190581359.44"/>
    <m/>
    <n v="878255.11262672802"/>
    <m/>
    <n v="90"/>
    <m/>
    <m/>
    <n v="101"/>
    <m/>
    <m/>
    <n v="13"/>
    <m/>
    <m/>
    <n v="0"/>
    <n v="0"/>
    <n v="9.8040000000000002E-3"/>
    <n v="8.7119999999999993E-3"/>
    <n v="0"/>
    <n v="0"/>
    <n v="0.50691200000000003"/>
    <n v="0.405499"/>
    <n v="0"/>
    <n v="0"/>
    <n v="0"/>
    <n v="0"/>
    <n v="0"/>
    <n v="0"/>
    <n v="18.2540154"/>
    <n v="50.38"/>
    <m/>
    <n v="13"/>
    <n v="0.43980000000000002"/>
    <n v="309619421.5"/>
    <n v="0"/>
    <n v="13"/>
    <n v="190581359.43999997"/>
    <x v="0"/>
    <x v="0"/>
    <x v="0"/>
    <n v="3478875070.1706953"/>
    <n v="9601488888.5872002"/>
    <n v="136170621.57570001"/>
    <n v="2.1274679999999999"/>
    <n v="1660344.8034412798"/>
    <n v="0"/>
    <n v="0"/>
    <n v="109.999904"/>
    <n v="77280550.671560556"/>
    <n v="0"/>
    <n v="0"/>
    <n v="0"/>
    <n v="0"/>
    <n v="0"/>
    <n v="0"/>
    <n v="1"/>
    <n v="1"/>
    <x v="0"/>
  </r>
  <r>
    <x v="0"/>
    <x v="0"/>
    <x v="45"/>
    <m/>
    <n v="45"/>
    <m/>
    <m/>
    <n v="40703781.479999997"/>
    <m/>
    <n v="904528.47733333299"/>
    <m/>
    <n v="13"/>
    <m/>
    <m/>
    <n v="23"/>
    <m/>
    <m/>
    <n v="4"/>
    <m/>
    <m/>
    <n v="0"/>
    <n v="0"/>
    <n v="2.5000000000000001E-2"/>
    <n v="1.2113000000000001E-2"/>
    <n v="0"/>
    <n v="0"/>
    <n v="0.222222"/>
    <n v="0.15088799999999999"/>
    <n v="0"/>
    <n v="0"/>
    <n v="0"/>
    <n v="0"/>
    <n v="0"/>
    <n v="0"/>
    <n v="18.608903699999999"/>
    <n v="56.87"/>
    <m/>
    <n v="5"/>
    <n v="0.44040000000000001"/>
    <n v="68893765.390000001"/>
    <n v="0"/>
    <n v="4"/>
    <n v="40703781.479999982"/>
    <x v="0"/>
    <x v="0"/>
    <x v="0"/>
    <n v="757452749.78716338"/>
    <n v="2314824052.7675996"/>
    <n v="30340814.277756002"/>
    <n v="1.125"/>
    <n v="493044.90506724"/>
    <n v="0"/>
    <n v="0"/>
    <n v="9.9999900000000004"/>
    <n v="6141712.1799542392"/>
    <n v="0"/>
    <n v="0"/>
    <n v="0"/>
    <n v="0"/>
    <n v="0"/>
    <n v="0"/>
    <n v="1"/>
    <n v="1"/>
    <x v="3"/>
  </r>
  <r>
    <x v="0"/>
    <x v="0"/>
    <x v="46"/>
    <m/>
    <n v="14194"/>
    <m/>
    <m/>
    <n v="8852080698.4799995"/>
    <m/>
    <n v="623649.478545864"/>
    <m/>
    <n v="9086"/>
    <m/>
    <m/>
    <n v="4319"/>
    <m/>
    <m/>
    <n v="469"/>
    <m/>
    <m/>
    <n v="0"/>
    <n v="0"/>
    <n v="0"/>
    <n v="0"/>
    <n v="0"/>
    <n v="0"/>
    <n v="0.72417900000000002"/>
    <n v="0.653443"/>
    <n v="0"/>
    <n v="0"/>
    <n v="0"/>
    <n v="0"/>
    <n v="0"/>
    <n v="0"/>
    <n v="17.790802599999999"/>
    <n v="42.15"/>
    <m/>
    <n v="320"/>
    <n v="0.46560000000000001"/>
    <n v="14924901324.049999"/>
    <n v="0"/>
    <n v="469"/>
    <n v="8852080698.4799938"/>
    <x v="0"/>
    <x v="0"/>
    <x v="0"/>
    <n v="157485620305.9278"/>
    <n v="373115201440.93195"/>
    <n v="6949034056.4776802"/>
    <n v="0"/>
    <n v="0"/>
    <n v="0"/>
    <n v="0"/>
    <n v="10278.996725999999"/>
    <n v="5784330167.8568659"/>
    <n v="0"/>
    <n v="0"/>
    <n v="0"/>
    <n v="0"/>
    <n v="0"/>
    <n v="0"/>
    <n v="1"/>
    <n v="1"/>
    <x v="7"/>
  </r>
  <r>
    <x v="0"/>
    <x v="0"/>
    <x v="47"/>
    <m/>
    <n v="713"/>
    <m/>
    <m/>
    <n v="305069887.19999999"/>
    <m/>
    <n v="427868.00448807899"/>
    <m/>
    <n v="577"/>
    <m/>
    <m/>
    <n v="59"/>
    <m/>
    <m/>
    <n v="10"/>
    <m/>
    <m/>
    <n v="0"/>
    <n v="0"/>
    <n v="3.5603999999999997E-2"/>
    <n v="3.4415000000000001E-2"/>
    <n v="0"/>
    <n v="0"/>
    <n v="0.79803599999999997"/>
    <n v="0.63688999999999996"/>
    <n v="1.5479999999999999E-3"/>
    <n v="1.2489999999999999E-3"/>
    <n v="0"/>
    <n v="0"/>
    <n v="0"/>
    <n v="0"/>
    <n v="17.8028908"/>
    <n v="43.02"/>
    <m/>
    <n v="67"/>
    <n v="0.45900000000000002"/>
    <n v="514902019.92000002"/>
    <n v="0"/>
    <n v="10"/>
    <n v="305069887.20000035"/>
    <x v="0"/>
    <x v="0"/>
    <x v="0"/>
    <n v="5431125888.1899176"/>
    <n v="13124106547.344"/>
    <n v="236340027.14328003"/>
    <n v="25.385651999999997"/>
    <n v="10498980.167988"/>
    <n v="0"/>
    <n v="0"/>
    <n v="568.99966799999993"/>
    <n v="194295960.45880798"/>
    <n v="1.1037239999999999"/>
    <n v="381032.28911279998"/>
    <n v="0"/>
    <n v="0"/>
    <n v="0"/>
    <n v="0"/>
    <n v="1"/>
    <n v="1"/>
    <x v="3"/>
  </r>
  <r>
    <x v="0"/>
    <x v="0"/>
    <x v="48"/>
    <m/>
    <n v="2726"/>
    <m/>
    <m/>
    <n v="1148436338.55"/>
    <m/>
    <n v="421289.92610051401"/>
    <m/>
    <n v="2107"/>
    <m/>
    <m/>
    <n v="338"/>
    <m/>
    <m/>
    <n v="39"/>
    <m/>
    <m/>
    <n v="0"/>
    <n v="0"/>
    <n v="7.7295000000000003E-2"/>
    <n v="7.1834999999999996E-2"/>
    <n v="3.6699999999999998E-4"/>
    <n v="2.34E-4"/>
    <n v="0.75825399999999998"/>
    <n v="0.69472599999999995"/>
    <n v="0"/>
    <n v="0"/>
    <n v="0"/>
    <n v="0"/>
    <n v="0"/>
    <n v="0"/>
    <n v="17.8862077"/>
    <n v="41.29"/>
    <m/>
    <n v="242"/>
    <n v="0.41870000000000002"/>
    <n v="1737002882.4200001"/>
    <n v="0"/>
    <n v="39"/>
    <n v="1148436338.5500011"/>
    <x v="0"/>
    <x v="0"/>
    <x v="0"/>
    <n v="20541170881.532814"/>
    <n v="47418936418.7295"/>
    <n v="727283106.86925411"/>
    <n v="210.70617000000001"/>
    <n v="82497924.37973924"/>
    <n v="1.0004419999999998"/>
    <n v="268734.1032207"/>
    <n v="2067.0004039999999"/>
    <n v="797848583.73548722"/>
    <n v="0"/>
    <n v="0"/>
    <n v="0"/>
    <n v="0"/>
    <n v="0"/>
    <n v="0"/>
    <n v="1"/>
    <n v="1"/>
    <x v="5"/>
  </r>
  <r>
    <x v="0"/>
    <x v="0"/>
    <x v="49"/>
    <m/>
    <n v="1668"/>
    <m/>
    <m/>
    <n v="867052856.44000006"/>
    <m/>
    <n v="519815.86117505998"/>
    <m/>
    <n v="1029"/>
    <m/>
    <m/>
    <n v="464"/>
    <m/>
    <m/>
    <n v="52"/>
    <m/>
    <m/>
    <n v="0"/>
    <n v="0"/>
    <n v="2.3948000000000001E-2"/>
    <n v="2.0079E-2"/>
    <n v="2.398E-3"/>
    <n v="9.7E-5"/>
    <n v="0.62050399999999994"/>
    <n v="0.53647"/>
    <n v="0"/>
    <n v="0"/>
    <n v="0"/>
    <n v="0"/>
    <n v="0"/>
    <n v="0"/>
    <n v="18.898433499999999"/>
    <n v="46.16"/>
    <m/>
    <n v="123"/>
    <n v="0.43169999999999997"/>
    <n v="1392954020.55"/>
    <n v="0"/>
    <n v="52"/>
    <n v="867052856.44000006"/>
    <x v="0"/>
    <x v="0"/>
    <x v="0"/>
    <n v="16385940748.416388"/>
    <n v="40023159853.270401"/>
    <n v="601338250.671435"/>
    <n v="39.945264000000002"/>
    <n v="17409554.30445876"/>
    <n v="3.9998640000000001"/>
    <n v="84104.12707468"/>
    <n v="1035.0006719999999"/>
    <n v="465147845.89436686"/>
    <n v="0"/>
    <n v="0"/>
    <n v="0"/>
    <n v="0"/>
    <n v="0"/>
    <n v="0"/>
    <n v="1"/>
    <n v="1"/>
    <x v="6"/>
  </r>
  <r>
    <x v="0"/>
    <x v="0"/>
    <x v="50"/>
    <m/>
    <n v="224"/>
    <m/>
    <m/>
    <n v="114409951.27"/>
    <m/>
    <n v="510758.71102678601"/>
    <m/>
    <n v="127"/>
    <m/>
    <m/>
    <n v="79"/>
    <m/>
    <m/>
    <n v="11"/>
    <m/>
    <m/>
    <n v="0"/>
    <n v="0"/>
    <n v="2.3040999999999999E-2"/>
    <n v="1.8683999999999999E-2"/>
    <n v="0"/>
    <n v="0"/>
    <n v="0.73214299999999999"/>
    <n v="0.64170300000000002"/>
    <n v="0"/>
    <n v="0"/>
    <n v="0"/>
    <n v="0"/>
    <n v="0"/>
    <n v="0"/>
    <n v="18.6769414"/>
    <n v="45.6"/>
    <m/>
    <n v="7"/>
    <n v="0.4461"/>
    <n v="187946209.68000001"/>
    <n v="0"/>
    <n v="11"/>
    <n v="114409951.27000007"/>
    <x v="0"/>
    <x v="0"/>
    <x v="0"/>
    <n v="2136827955.4466455"/>
    <n v="5217093777.9119997"/>
    <n v="83842804.138247997"/>
    <n v="5.1611839999999995"/>
    <n v="2137635.5295286798"/>
    <n v="0"/>
    <n v="0"/>
    <n v="164.000032"/>
    <n v="73417208.959812805"/>
    <n v="0"/>
    <n v="0"/>
    <n v="0"/>
    <n v="0"/>
    <n v="0"/>
    <n v="0"/>
    <n v="1"/>
    <n v="1"/>
    <x v="3"/>
  </r>
  <r>
    <x v="0"/>
    <x v="0"/>
    <x v="51"/>
    <m/>
    <n v="49"/>
    <m/>
    <m/>
    <n v="31866533.940000001"/>
    <m/>
    <n v="650337.42734693899"/>
    <m/>
    <n v="25"/>
    <m/>
    <m/>
    <n v="15"/>
    <m/>
    <m/>
    <n v="6"/>
    <m/>
    <m/>
    <n v="0"/>
    <n v="0"/>
    <n v="0"/>
    <n v="0"/>
    <n v="0"/>
    <n v="0"/>
    <n v="0.36734699999999998"/>
    <n v="0.31765399999999999"/>
    <n v="0"/>
    <n v="0"/>
    <n v="0"/>
    <n v="0"/>
    <n v="0"/>
    <n v="0"/>
    <n v="19.5182073"/>
    <n v="48.91"/>
    <m/>
    <n v="3"/>
    <n v="0.40970000000000001"/>
    <n v="50727020.020000003"/>
    <n v="0"/>
    <n v="6"/>
    <n v="31866533.940000009"/>
    <x v="0"/>
    <x v="0"/>
    <x v="0"/>
    <n v="621977615.37340581"/>
    <n v="1558592175.0053999"/>
    <n v="20782860.102194"/>
    <n v="0"/>
    <n v="0"/>
    <n v="0"/>
    <n v="0"/>
    <n v="18.000003"/>
    <n v="10122531.97217676"/>
    <n v="0"/>
    <n v="0"/>
    <n v="0"/>
    <n v="0"/>
    <n v="0"/>
    <n v="0"/>
    <n v="1"/>
    <n v="1"/>
    <x v="1"/>
  </r>
  <r>
    <x v="0"/>
    <x v="0"/>
    <x v="52"/>
    <m/>
    <n v="5144"/>
    <m/>
    <m/>
    <n v="1741142896.6900001"/>
    <m/>
    <n v="338480.34539074602"/>
    <m/>
    <n v="3406"/>
    <m/>
    <m/>
    <n v="514"/>
    <m/>
    <m/>
    <n v="32"/>
    <m/>
    <m/>
    <n v="0"/>
    <n v="0"/>
    <n v="1.4676E-2"/>
    <n v="1.2643E-2"/>
    <n v="0"/>
    <n v="0"/>
    <n v="0.80890399999999996"/>
    <n v="0.78265799999999996"/>
    <n v="0"/>
    <n v="0"/>
    <n v="0"/>
    <n v="0"/>
    <n v="0"/>
    <n v="0"/>
    <n v="17.201105600000002"/>
    <n v="38.9"/>
    <m/>
    <n v="1192"/>
    <n v="0.41610000000000003"/>
    <n v="2565951760.9000001"/>
    <n v="0"/>
    <n v="32"/>
    <n v="1741142896.6899974"/>
    <x v="0"/>
    <x v="0"/>
    <x v="0"/>
    <n v="29949582830.654583"/>
    <n v="67730458681.240997"/>
    <n v="1067692527.7104901"/>
    <n v="75.493343999999993"/>
    <n v="22013269.642851669"/>
    <n v="0"/>
    <n v="0"/>
    <n v="4161.002176"/>
    <n v="1362719417.237602"/>
    <n v="0"/>
    <n v="0"/>
    <n v="0"/>
    <n v="0"/>
    <n v="0"/>
    <n v="0"/>
    <n v="1"/>
    <n v="1"/>
    <x v="4"/>
  </r>
  <r>
    <x v="0"/>
    <x v="0"/>
    <x v="53"/>
    <m/>
    <n v="279"/>
    <m/>
    <m/>
    <n v="107580310.03"/>
    <m/>
    <n v="385592.50906810001"/>
    <m/>
    <n v="199"/>
    <m/>
    <m/>
    <n v="54"/>
    <m/>
    <m/>
    <n v="6"/>
    <m/>
    <m/>
    <n v="0"/>
    <n v="0"/>
    <n v="0.108108"/>
    <n v="9.4298999999999994E-2"/>
    <n v="0"/>
    <n v="0"/>
    <n v="0.64874600000000004"/>
    <n v="0.52122199999999996"/>
    <n v="0"/>
    <n v="0"/>
    <n v="0"/>
    <n v="0"/>
    <n v="0"/>
    <n v="0"/>
    <n v="18.482351699999999"/>
    <n v="42.73"/>
    <m/>
    <n v="20"/>
    <n v="0.43340000000000001"/>
    <n v="173827738.47999999"/>
    <n v="0"/>
    <n v="6"/>
    <n v="107580310.0299999"/>
    <x v="0"/>
    <x v="0"/>
    <x v="0"/>
    <n v="1988337125.9694974"/>
    <n v="4596906647.5818996"/>
    <n v="75336941.85723199"/>
    <n v="30.162132"/>
    <n v="10144715.65551897"/>
    <n v="0"/>
    <n v="0"/>
    <n v="181.000134"/>
    <n v="56073224.354456656"/>
    <n v="0"/>
    <n v="0"/>
    <n v="0"/>
    <n v="0"/>
    <n v="0"/>
    <n v="0"/>
    <n v="1"/>
    <n v="1"/>
    <x v="0"/>
  </r>
  <r>
    <x v="0"/>
    <x v="0"/>
    <x v="54"/>
    <m/>
    <n v="403"/>
    <m/>
    <m/>
    <n v="212897469.99000001"/>
    <m/>
    <n v="528281.56325062003"/>
    <m/>
    <n v="243"/>
    <m/>
    <m/>
    <n v="128"/>
    <m/>
    <m/>
    <n v="12"/>
    <m/>
    <m/>
    <n v="0"/>
    <n v="0"/>
    <n v="5.7440999999999999E-2"/>
    <n v="4.6788999999999997E-2"/>
    <n v="0"/>
    <n v="0"/>
    <n v="0.67245699999999997"/>
    <n v="0.604688"/>
    <n v="0"/>
    <n v="0"/>
    <n v="0"/>
    <n v="0"/>
    <n v="0"/>
    <n v="0"/>
    <n v="18.101681200000002"/>
    <n v="45.5"/>
    <m/>
    <n v="20"/>
    <n v="0.42870000000000003"/>
    <n v="337203662.20999998"/>
    <n v="0"/>
    <n v="12"/>
    <n v="212897469.98999986"/>
    <x v="0"/>
    <x v="0"/>
    <x v="0"/>
    <n v="3853802130.0455475"/>
    <n v="9686834884.5450001"/>
    <n v="144559209.989427"/>
    <n v="23.148723"/>
    <n v="9961259.7233621106"/>
    <n v="0"/>
    <n v="0"/>
    <n v="271.00017099999997"/>
    <n v="128736545.33331312"/>
    <n v="0"/>
    <n v="0"/>
    <n v="0"/>
    <n v="0"/>
    <n v="0"/>
    <n v="0"/>
    <n v="1"/>
    <n v="1"/>
    <x v="6"/>
  </r>
  <r>
    <x v="0"/>
    <x v="0"/>
    <x v="55"/>
    <m/>
    <n v="208"/>
    <m/>
    <m/>
    <n v="90427439.609999999"/>
    <m/>
    <n v="434747.30581730802"/>
    <m/>
    <n v="144"/>
    <m/>
    <m/>
    <n v="37"/>
    <m/>
    <m/>
    <n v="6"/>
    <m/>
    <m/>
    <n v="0"/>
    <n v="0"/>
    <n v="3.2086000000000003E-2"/>
    <n v="3.6317000000000002E-2"/>
    <n v="0"/>
    <n v="0"/>
    <n v="0.71634600000000004"/>
    <n v="0.67184500000000003"/>
    <n v="0"/>
    <n v="0"/>
    <n v="0"/>
    <n v="0"/>
    <n v="0"/>
    <n v="0"/>
    <n v="18.266019"/>
    <n v="43.24"/>
    <m/>
    <n v="21"/>
    <n v="0.39639999999999997"/>
    <n v="133683036.53"/>
    <n v="0"/>
    <n v="6"/>
    <n v="90427439.610000074"/>
    <x v="0"/>
    <x v="0"/>
    <x v="0"/>
    <n v="1651749330.0376127"/>
    <n v="3910082488.7364001"/>
    <n v="52991955.680491999"/>
    <n v="6.6738880000000007"/>
    <n v="3284053.3243163703"/>
    <n v="0"/>
    <n v="0"/>
    <n v="148.999968"/>
    <n v="60753223.164780453"/>
    <n v="0"/>
    <n v="0"/>
    <n v="0"/>
    <n v="0"/>
    <n v="0"/>
    <n v="0"/>
    <n v="1"/>
    <n v="1"/>
    <x v="3"/>
  </r>
  <r>
    <x v="0"/>
    <x v="0"/>
    <x v="56"/>
    <m/>
    <n v="1573"/>
    <m/>
    <m/>
    <n v="664649843.89999998"/>
    <m/>
    <n v="422536.45511760999"/>
    <m/>
    <n v="1083"/>
    <m/>
    <m/>
    <n v="322"/>
    <m/>
    <m/>
    <n v="10"/>
    <m/>
    <m/>
    <n v="0"/>
    <n v="0"/>
    <n v="0"/>
    <n v="0"/>
    <n v="0"/>
    <n v="0"/>
    <n v="0.69930099999999995"/>
    <n v="0.60380500000000004"/>
    <n v="0"/>
    <n v="0"/>
    <n v="0"/>
    <n v="0"/>
    <n v="0"/>
    <n v="0"/>
    <n v="18.1434645"/>
    <n v="42.3"/>
    <m/>
    <n v="158"/>
    <n v="0.47089999999999999"/>
    <n v="1144959098.02"/>
    <n v="0"/>
    <n v="10"/>
    <n v="664649843.90000057"/>
    <x v="0"/>
    <x v="0"/>
    <x v="0"/>
    <n v="12059050847.730192"/>
    <n v="28114688396.969997"/>
    <n v="539161239.25761795"/>
    <n v="0"/>
    <n v="0"/>
    <n v="0"/>
    <n v="0"/>
    <n v="1100.0004729999998"/>
    <n v="401318898.99603951"/>
    <n v="0"/>
    <n v="0"/>
    <n v="0"/>
    <n v="0"/>
    <n v="0"/>
    <n v="0"/>
    <n v="1"/>
    <n v="1"/>
    <x v="6"/>
  </r>
  <r>
    <x v="0"/>
    <x v="0"/>
    <x v="57"/>
    <m/>
    <n v="1639"/>
    <m/>
    <m/>
    <n v="568689192.63999999"/>
    <m/>
    <n v="346973.27189749799"/>
    <m/>
    <n v="1001"/>
    <m/>
    <m/>
    <n v="253"/>
    <m/>
    <m/>
    <n v="15"/>
    <m/>
    <m/>
    <n v="0"/>
    <n v="0"/>
    <n v="0"/>
    <n v="0"/>
    <n v="0"/>
    <n v="0"/>
    <n v="0.79011600000000004"/>
    <n v="0.67612700000000003"/>
    <n v="0"/>
    <n v="0"/>
    <n v="0"/>
    <n v="0"/>
    <n v="0"/>
    <n v="0"/>
    <n v="18.929473900000001"/>
    <n v="42.36"/>
    <m/>
    <n v="370"/>
    <n v="0.41249999999999998"/>
    <n v="861346273.62"/>
    <n v="0"/>
    <n v="15"/>
    <n v="568689192.63999927"/>
    <x v="0"/>
    <x v="0"/>
    <x v="0"/>
    <n v="10764987229.290953"/>
    <n v="24089674200.2304"/>
    <n v="355305337.86825001"/>
    <n v="0"/>
    <n v="0"/>
    <n v="0"/>
    <n v="0"/>
    <n v="1295.0001240000001"/>
    <n v="384506117.7521053"/>
    <n v="0"/>
    <n v="0"/>
    <n v="0"/>
    <n v="0"/>
    <n v="0"/>
    <n v="0"/>
    <n v="1"/>
    <n v="1"/>
    <x v="4"/>
  </r>
  <r>
    <x v="0"/>
    <x v="0"/>
    <x v="58"/>
    <m/>
    <n v="552"/>
    <m/>
    <m/>
    <n v="249002826.33000001"/>
    <m/>
    <n v="451092.07668478298"/>
    <m/>
    <n v="422"/>
    <m/>
    <m/>
    <n v="96"/>
    <m/>
    <m/>
    <n v="3"/>
    <m/>
    <m/>
    <n v="0"/>
    <n v="0"/>
    <n v="3.839E-3"/>
    <n v="4.0200000000000001E-3"/>
    <n v="0"/>
    <n v="0"/>
    <n v="0.67753600000000003"/>
    <n v="0.60843199999999997"/>
    <n v="0"/>
    <n v="0"/>
    <n v="0"/>
    <n v="0"/>
    <n v="0"/>
    <n v="0"/>
    <n v="18.0082463"/>
    <n v="43.8"/>
    <m/>
    <n v="31"/>
    <n v="0.4088"/>
    <n v="386083790.06999999"/>
    <n v="0"/>
    <n v="3"/>
    <n v="249002826.33000019"/>
    <x v="0"/>
    <x v="0"/>
    <x v="0"/>
    <n v="4484104225.9467649"/>
    <n v="10906323793.254"/>
    <n v="157831053.38061601"/>
    <n v="2.1191279999999999"/>
    <n v="1000991.3618466001"/>
    <n v="0"/>
    <n v="0"/>
    <n v="373.99987200000004"/>
    <n v="151501287.62961456"/>
    <n v="0"/>
    <n v="0"/>
    <n v="0"/>
    <n v="0"/>
    <n v="0"/>
    <n v="0"/>
    <n v="1"/>
    <n v="1"/>
    <x v="5"/>
  </r>
  <r>
    <x v="0"/>
    <x v="0"/>
    <x v="59"/>
    <m/>
    <n v="1511"/>
    <m/>
    <m/>
    <n v="661213452.92999995"/>
    <m/>
    <n v="437599.90266710799"/>
    <m/>
    <n v="1063"/>
    <m/>
    <m/>
    <n v="389"/>
    <m/>
    <m/>
    <n v="20"/>
    <m/>
    <m/>
    <n v="0"/>
    <n v="0"/>
    <n v="1.1549E-2"/>
    <n v="1.0156999999999999E-2"/>
    <n v="0"/>
    <n v="0"/>
    <n v="0.70615499999999998"/>
    <n v="0.64321300000000003"/>
    <n v="0"/>
    <n v="0"/>
    <n v="0"/>
    <n v="0"/>
    <n v="0"/>
    <n v="0"/>
    <n v="18.1177405"/>
    <n v="41.3"/>
    <m/>
    <n v="39"/>
    <n v="0.43580000000000002"/>
    <n v="1051271892.49"/>
    <n v="0"/>
    <n v="20"/>
    <n v="661213452.93000019"/>
    <x v="0"/>
    <x v="0"/>
    <x v="0"/>
    <n v="11979693755.294704"/>
    <n v="27308115606.008995"/>
    <n v="458144290.74714202"/>
    <n v="17.450538999999999"/>
    <n v="6715945.0414100094"/>
    <n v="0"/>
    <n v="0"/>
    <n v="1067.0002050000001"/>
    <n v="425301088.69946408"/>
    <n v="0"/>
    <n v="0"/>
    <n v="0"/>
    <n v="0"/>
    <n v="0"/>
    <n v="0"/>
    <n v="1"/>
    <n v="1"/>
    <x v="2"/>
  </r>
  <r>
    <x v="0"/>
    <x v="0"/>
    <x v="60"/>
    <m/>
    <n v="900"/>
    <m/>
    <m/>
    <n v="450709525.45999998"/>
    <m/>
    <n v="500788.361622222"/>
    <m/>
    <n v="531"/>
    <m/>
    <m/>
    <n v="296"/>
    <m/>
    <m/>
    <n v="25"/>
    <m/>
    <m/>
    <n v="0"/>
    <n v="0"/>
    <n v="2.5822000000000001E-2"/>
    <n v="2.3448E-2"/>
    <n v="0"/>
    <n v="0"/>
    <n v="0.64777799999999996"/>
    <n v="0.54434700000000003"/>
    <n v="0"/>
    <n v="0"/>
    <n v="0"/>
    <n v="0"/>
    <n v="0"/>
    <n v="0"/>
    <n v="18.1076312"/>
    <n v="45.36"/>
    <m/>
    <n v="48"/>
    <n v="0.40110000000000001"/>
    <n v="683771460.52999997"/>
    <n v="0"/>
    <n v="25"/>
    <n v="450709525.4599998"/>
    <x v="0"/>
    <x v="0"/>
    <x v="0"/>
    <n v="8161281865.3566904"/>
    <n v="20444184074.865601"/>
    <n v="274260732.81858301"/>
    <n v="23.239800000000002"/>
    <n v="10568236.95298608"/>
    <n v="0"/>
    <n v="0"/>
    <n v="583.00019999999995"/>
    <n v="245342378.05557463"/>
    <n v="0"/>
    <n v="0"/>
    <n v="0"/>
    <n v="0"/>
    <n v="0"/>
    <n v="0"/>
    <n v="1"/>
    <n v="1"/>
    <x v="6"/>
  </r>
  <r>
    <x v="0"/>
    <x v="0"/>
    <x v="61"/>
    <m/>
    <n v="917"/>
    <m/>
    <m/>
    <n v="340446638.06"/>
    <m/>
    <n v="371261.328309706"/>
    <m/>
    <n v="812"/>
    <m/>
    <m/>
    <n v="68"/>
    <m/>
    <m/>
    <n v="12"/>
    <m/>
    <m/>
    <n v="0"/>
    <n v="0"/>
    <n v="0"/>
    <n v="0"/>
    <n v="0"/>
    <n v="0"/>
    <n v="0.71973799999999999"/>
    <n v="0.64151499999999995"/>
    <n v="0"/>
    <n v="0"/>
    <n v="0"/>
    <n v="0"/>
    <n v="0"/>
    <n v="0"/>
    <n v="18.371134399999999"/>
    <n v="40.020000000000003"/>
    <m/>
    <n v="25"/>
    <n v="0.42820000000000003"/>
    <n v="547498735.88"/>
    <n v="0"/>
    <n v="12"/>
    <n v="340446638.06000042"/>
    <x v="0"/>
    <x v="0"/>
    <x v="0"/>
    <n v="6254390943.8284149"/>
    <n v="13624674455.161201"/>
    <n v="234438958.70381603"/>
    <n v="0"/>
    <n v="0"/>
    <n v="0"/>
    <n v="0"/>
    <n v="659.99974599999996"/>
    <n v="218401625.01506087"/>
    <n v="0"/>
    <n v="0"/>
    <n v="0"/>
    <n v="0"/>
    <n v="0"/>
    <n v="0"/>
    <n v="1"/>
    <n v="1"/>
    <x v="6"/>
  </r>
  <r>
    <x v="0"/>
    <x v="0"/>
    <x v="62"/>
    <m/>
    <n v="1506"/>
    <m/>
    <m/>
    <n v="616549414.96000004"/>
    <m/>
    <n v="409395.36185922998"/>
    <m/>
    <n v="1184"/>
    <m/>
    <m/>
    <n v="202"/>
    <m/>
    <m/>
    <n v="20"/>
    <m/>
    <m/>
    <n v="0"/>
    <n v="0"/>
    <n v="0"/>
    <n v="0"/>
    <n v="0"/>
    <n v="0"/>
    <n v="0.72775599999999996"/>
    <n v="0.64610699999999999"/>
    <n v="0"/>
    <n v="0"/>
    <n v="0"/>
    <n v="0"/>
    <n v="0"/>
    <n v="0"/>
    <n v="18.437861900000001"/>
    <n v="41.91"/>
    <m/>
    <n v="100"/>
    <n v="0.43959999999999999"/>
    <n v="964996787.24000001"/>
    <n v="0"/>
    <n v="20"/>
    <n v="616549414.9600004"/>
    <x v="0"/>
    <x v="0"/>
    <x v="0"/>
    <n v="11367852967.558275"/>
    <n v="25839585980.973598"/>
    <n v="424212587.67070401"/>
    <n v="0"/>
    <n v="0"/>
    <n v="0"/>
    <n v="0"/>
    <n v="1096.000536"/>
    <n v="398356892.85156071"/>
    <n v="0"/>
    <n v="0"/>
    <n v="0"/>
    <n v="0"/>
    <n v="0"/>
    <n v="0"/>
    <n v="1"/>
    <n v="1"/>
    <x v="4"/>
  </r>
  <r>
    <x v="0"/>
    <x v="0"/>
    <x v="63"/>
    <m/>
    <n v="627"/>
    <m/>
    <m/>
    <n v="301122790.87"/>
    <m/>
    <n v="480259.63456140301"/>
    <m/>
    <n v="408"/>
    <m/>
    <m/>
    <n v="152"/>
    <m/>
    <m/>
    <n v="13"/>
    <m/>
    <m/>
    <n v="0"/>
    <n v="0"/>
    <n v="0"/>
    <n v="0"/>
    <n v="0"/>
    <n v="0"/>
    <n v="0.60446599999999995"/>
    <n v="0.41893999999999998"/>
    <n v="0"/>
    <n v="0"/>
    <n v="0"/>
    <n v="0"/>
    <n v="0"/>
    <n v="0"/>
    <n v="18.4861006"/>
    <n v="46.64"/>
    <m/>
    <n v="54"/>
    <n v="0.4294"/>
    <n v="491482646.50999999"/>
    <n v="0"/>
    <n v="13"/>
    <n v="301122790.86999971"/>
    <x v="0"/>
    <x v="0"/>
    <x v="0"/>
    <n v="5566586204.9755821"/>
    <n v="14044366966.1768"/>
    <n v="211042648.411394"/>
    <n v="0"/>
    <n v="0"/>
    <n v="0"/>
    <n v="0"/>
    <n v="379.000182"/>
    <n v="126152382.0070778"/>
    <n v="0"/>
    <n v="0"/>
    <n v="0"/>
    <n v="0"/>
    <n v="0"/>
    <n v="0"/>
    <n v="1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t_Pivot_Plan" cacheId="99" applyNumberFormats="0" applyBorderFormats="0" applyFontFormats="0" applyPatternFormats="0" applyAlignmentFormats="0" applyWidthHeightFormats="1" dataCaption="Значения" updatedVersion="4" minRefreshableVersion="3" itemPrintTitles="1" createdVersion="4" indent="0" compact="0" compactData="0" multipleFieldFilters="0">
  <location ref="A13:AB78" firstHeaderRow="0" firstDataRow="1" firstDataCol="2"/>
  <pivotFields count="91">
    <pivotField compact="0" numFmtId="14" outline="0" showAll="0" defaultSubtotal="0">
      <items count="14">
        <item m="1" x="1"/>
        <item m="1" x="2"/>
        <item m="1" x="3"/>
        <item m="1" x="4"/>
        <item m="1" x="5"/>
        <item m="1" x="6"/>
        <item m="1" x="7"/>
        <item m="1" x="10"/>
        <item m="1" x="13"/>
        <item m="1" x="12"/>
        <item m="1" x="11"/>
        <item m="1" x="8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Период (месяц)" axis="axisRow" compact="0" numFmtId="14" outline="0" showAll="0" sortType="ascending" defaultSubtotal="0">
      <items count="17">
        <item x="0"/>
        <item m="1" x="7"/>
        <item m="1" x="9"/>
        <item m="1" x="3"/>
        <item m="1" x="5"/>
        <item m="1" x="13"/>
        <item m="1" x="2"/>
        <item m="1" x="10"/>
        <item m="1" x="16"/>
        <item m="1" x="12"/>
        <item m="1" x="15"/>
        <item m="1" x="4"/>
        <item m="1" x="11"/>
        <item m="1" x="14"/>
        <item m="1" x="1"/>
        <item m="1" x="6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">
        <item x="10"/>
        <item x="23"/>
        <item x="38"/>
        <item x="63"/>
        <item x="36"/>
        <item x="26"/>
        <item x="5"/>
        <item x="25"/>
        <item x="56"/>
        <item x="59"/>
        <item x="49"/>
        <item x="14"/>
        <item x="15"/>
        <item x="17"/>
        <item x="34"/>
        <item x="52"/>
        <item x="3"/>
        <item x="39"/>
        <item x="43"/>
        <item x="11"/>
        <item x="0"/>
        <item x="42"/>
        <item x="18"/>
        <item x="4"/>
        <item x="8"/>
        <item x="41"/>
        <item x="46"/>
        <item x="44"/>
        <item x="12"/>
        <item x="9"/>
        <item x="27"/>
        <item x="53"/>
        <item x="30"/>
        <item x="37"/>
        <item x="62"/>
        <item x="50"/>
        <item x="55"/>
        <item x="22"/>
        <item x="58"/>
        <item x="57"/>
        <item x="33"/>
        <item x="29"/>
        <item x="47"/>
        <item x="20"/>
        <item x="2"/>
        <item x="19"/>
        <item x="54"/>
        <item x="6"/>
        <item x="28"/>
        <item x="35"/>
        <item x="24"/>
        <item x="31"/>
        <item x="21"/>
        <item x="61"/>
        <item x="48"/>
        <item x="45"/>
        <item x="13"/>
        <item x="40"/>
        <item x="60"/>
        <item x="32"/>
        <item x="1"/>
        <item x="16"/>
        <item x="5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items count="4">
        <item m="1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items count="12">
        <item h="1" m="1" x="5"/>
        <item h="1" m="1" x="2"/>
        <item h="1" m="1" x="6"/>
        <item h="1" m="1" x="11"/>
        <item h="1" m="1" x="1"/>
        <item h="1" m="1" x="3"/>
        <item h="1" m="1" x="4"/>
        <item h="1" m="1" x="7"/>
        <item h="1" m="1" x="8"/>
        <item h="1" m="1" x="9"/>
        <item h="1"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m="1" x="3"/>
        <item m="1" x="2"/>
        <item m="1" x="4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1"/>
        <item x="6"/>
        <item x="5"/>
        <item x="3"/>
        <item x="4"/>
        <item x="7"/>
        <item x="0"/>
        <item x="2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6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t="grand">
      <x/>
    </i>
  </rowItems>
  <colFields count="1">
    <field x="-2"/>
  </colFields>
  <colItems count="2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</colItems>
  <dataFields count="26">
    <dataField name="План (все сегменты), шт." fld="3" baseField="0" baseItem="2" numFmtId="3"/>
    <dataField name="Факт (все сегменты), шт." fld="4" baseField="0" baseItem="2" numFmtId="3"/>
    <dataField name="Исполнение плана по шт. (все сегменты), %" fld="64" baseField="0" baseItem="2" numFmtId="165"/>
    <dataField name="План (все сегменты), руб." fld="6" baseField="0" baseItem="3" numFmtId="3"/>
    <dataField name="Факт (все сегменты), руб." fld="7" baseField="0" baseItem="4" numFmtId="3"/>
    <dataField name="Исполнение плана по руб. (все сегменты), %" fld="65" baseField="0" baseItem="4" numFmtId="165"/>
    <dataField name="План (ФП), шт." fld="10" baseField="0" baseItem="6" numFmtId="3"/>
    <dataField name="Факт (ФП), шт." fld="11" baseField="0" baseItem="6" numFmtId="3"/>
    <dataField name="Исполнение плана по шт. (ФП), %" fld="66" baseField="0" baseItem="6" numFmtId="165"/>
    <dataField name="План (неФП), шт." fld="13" baseField="2" baseItem="4" numFmtId="3"/>
    <dataField name="Факт (неФП), шт." fld="14" baseField="1" baseItem="4" numFmtId="3"/>
    <dataField name="Исполнение плана по шт. (неФП), %" fld="67" baseField="0" baseItem="10" numFmtId="165"/>
    <dataField name="План (АСП_дилеры), шт." fld="16" baseField="0" baseItem="13" numFmtId="3"/>
    <dataField name="Факт (АСП_дилеры), шт." fld="17" baseField="0" baseItem="13" numFmtId="3"/>
    <dataField name="Исполнение плана по шт. (АСП_дилеры), %" fld="68" baseField="0" baseItem="12" numFmtId="165"/>
    <dataField name="План (С2С), шт. " fld="84" baseField="0" baseItem="0" numFmtId="3"/>
    <dataField name="Факт (С2С), шт." fld="20" baseField="0" baseItem="14" numFmtId="3"/>
    <dataField name="Исполнение плана по шт. (C2C), %" fld="85" baseField="1" baseItem="4" numFmtId="165"/>
    <dataField name="План (АБ), шт." fld="36" baseField="2" baseItem="6" numFmtId="3"/>
    <dataField name="Факт (АБ), шт." fld="37" baseField="2" baseItem="6" numFmtId="3"/>
    <dataField name="Исполнение плана по шт. (АБ), %" fld="86" baseField="1" baseItem="4" numFmtId="165"/>
    <dataField name="План (АСП_тотал), шт." fld="40" baseField="2" baseItem="3" numFmtId="3"/>
    <dataField name="Факт (АСП_тотал), шт." fld="41" baseField="2" baseItem="3" numFmtId="3"/>
    <dataField name="Исполнение плана по шт. (АСП_тотал), %" fld="88" baseField="2" baseItem="3" numFmtId="165"/>
    <dataField name="Прогноз исп. плана по шт. (все сегменты), %" fld="89" baseField="2" baseItem="4" numFmtId="165"/>
    <dataField name="Прогноз исп. плана по руб. (все сегменты), %" fld="90" baseField="2" baseItem="0" numFmtId="165"/>
  </dataFields>
  <formats count="31">
    <format dxfId="179">
      <pivotArea field="0" type="button" dataOnly="0" labelOnly="1" outline="0"/>
    </format>
    <format dxfId="178">
      <pivotArea field="1" type="button" dataOnly="0" labelOnly="1" outline="0" axis="axisRow" fieldPosition="0"/>
    </format>
    <format dxfId="177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6"/>
          </reference>
        </references>
      </pivotArea>
    </format>
    <format dxfId="176">
      <pivotArea field="0" type="button" dataOnly="0" labelOnly="1" outline="0"/>
    </format>
    <format dxfId="175">
      <pivotArea field="1" type="button" dataOnly="0" labelOnly="1" outline="0" axis="axisRow" fieldPosition="0"/>
    </format>
    <format dxfId="174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6"/>
          </reference>
        </references>
      </pivotArea>
    </format>
    <format dxfId="173">
      <pivotArea field="0" type="button" dataOnly="0" labelOnly="1" outline="0"/>
    </format>
    <format dxfId="172">
      <pivotArea field="1" type="button" dataOnly="0" labelOnly="1" outline="0" axis="axisRow" fieldPosition="0"/>
    </format>
    <format dxfId="171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6"/>
          </reference>
        </references>
      </pivotArea>
    </format>
    <format dxfId="170">
      <pivotArea field="2" type="button" dataOnly="0" labelOnly="1" outline="0" axis="axisRow" fieldPosition="1"/>
    </format>
    <format dxfId="169">
      <pivotArea outline="0" fieldPosition="0">
        <references count="1">
          <reference field="4294967294" count="1">
            <x v="9"/>
          </reference>
        </references>
      </pivotArea>
    </format>
    <format dxfId="168">
      <pivotArea outline="0" fieldPosition="0">
        <references count="1">
          <reference field="4294967294" count="1">
            <x v="10"/>
          </reference>
        </references>
      </pivotArea>
    </format>
    <format dxfId="167">
      <pivotArea outline="0" fieldPosition="0">
        <references count="1">
          <reference field="4294967294" count="1">
            <x v="18"/>
          </reference>
        </references>
      </pivotArea>
    </format>
    <format dxfId="166">
      <pivotArea outline="0" fieldPosition="0">
        <references count="1">
          <reference field="4294967294" count="1">
            <x v="19"/>
          </reference>
        </references>
      </pivotArea>
    </format>
    <format dxfId="165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64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163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162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161">
      <pivotArea outline="0" fieldPosition="0">
        <references count="1">
          <reference field="4294967294" count="1">
            <x v="17"/>
          </reference>
        </references>
      </pivotArea>
    </format>
    <format dxfId="160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159">
      <pivotArea outline="0" fieldPosition="0">
        <references count="1">
          <reference field="4294967294" count="1">
            <x v="20"/>
          </reference>
        </references>
      </pivotArea>
    </format>
    <format dxfId="158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157">
      <pivotArea dataOnly="0" labelOnly="1" outline="0" fieldPosition="0">
        <references count="1">
          <reference field="4294967294" count="1">
            <x v="22"/>
          </reference>
        </references>
      </pivotArea>
    </format>
    <format dxfId="156">
      <pivotArea outline="0" fieldPosition="0">
        <references count="1">
          <reference field="4294967294" count="1">
            <x v="21"/>
          </reference>
        </references>
      </pivotArea>
    </format>
    <format dxfId="155">
      <pivotArea outline="0" fieldPosition="0">
        <references count="1">
          <reference field="4294967294" count="1">
            <x v="22"/>
          </reference>
        </references>
      </pivotArea>
    </format>
    <format dxfId="154">
      <pivotArea outline="0" fieldPosition="0">
        <references count="1">
          <reference field="4294967294" count="1">
            <x v="23"/>
          </reference>
        </references>
      </pivotArea>
    </format>
    <format dxfId="153">
      <pivotArea dataOnly="0" labelOnly="1" outline="0" fieldPosition="0">
        <references count="1">
          <reference field="4294967294" count="1">
            <x v="23"/>
          </reference>
        </references>
      </pivotArea>
    </format>
    <format dxfId="152">
      <pivotArea outline="0" fieldPosition="0">
        <references count="1">
          <reference field="4294967294" count="1">
            <x v="24"/>
          </reference>
        </references>
      </pivotArea>
    </format>
    <format dxfId="151">
      <pivotArea dataOnly="0" labelOnly="1" outline="0" fieldPosition="0">
        <references count="1">
          <reference field="4294967294" count="1">
            <x v="24"/>
          </reference>
        </references>
      </pivotArea>
    </format>
    <format dxfId="150">
      <pivotArea outline="0" fieldPosition="0">
        <references count="1">
          <reference field="4294967294" count="1">
            <x v="25"/>
          </reference>
        </references>
      </pivotArea>
    </format>
    <format dxfId="149">
      <pivotArea dataOnly="0" labelOnly="1" outline="0" fieldPosition="0">
        <references count="1">
          <reference field="4294967294" count="1">
            <x v="25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t_Pivot_SU" cacheId="99" applyNumberFormats="0" applyBorderFormats="0" applyFontFormats="0" applyPatternFormats="0" applyAlignmentFormats="0" applyWidthHeightFormats="1" dataCaption="Значения" updatedVersion="4" minRefreshableVersion="3" itemPrintTitles="1" createdVersion="4" indent="0" compact="0" compactData="0" multipleFieldFilters="0">
  <location ref="A13:M15" firstHeaderRow="0" firstDataRow="1" firstDataCol="1"/>
  <pivotFields count="91">
    <pivotField compact="0" numFmtId="14" outline="0" showAll="0" defaultSubtotal="0">
      <items count="14">
        <item m="1" x="1"/>
        <item m="1" x="2"/>
        <item m="1" x="3"/>
        <item m="1" x="4"/>
        <item m="1" x="5"/>
        <item m="1" x="6"/>
        <item m="1" x="7"/>
        <item m="1" x="10"/>
        <item m="1" x="13"/>
        <item m="1" x="12"/>
        <item m="1" x="11"/>
        <item m="1" x="8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Период (месяц)" axis="axisRow" compact="0" numFmtId="14" outline="0" showAll="0" sortType="ascending" defaultSubtotal="0">
      <items count="17">
        <item x="0"/>
        <item m="1" x="7"/>
        <item m="1" x="9"/>
        <item m="1" x="3"/>
        <item m="1" x="5"/>
        <item m="1" x="13"/>
        <item m="1" x="2"/>
        <item m="1" x="10"/>
        <item m="1" x="16"/>
        <item m="1" x="12"/>
        <item m="1" x="15"/>
        <item m="1" x="4"/>
        <item m="1" x="11"/>
        <item m="1" x="14"/>
        <item m="1" x="1"/>
        <item m="1" x="6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4">
        <item x="10"/>
        <item x="23"/>
        <item x="38"/>
        <item x="63"/>
        <item x="36"/>
        <item x="26"/>
        <item x="5"/>
        <item x="25"/>
        <item x="56"/>
        <item x="59"/>
        <item x="49"/>
        <item x="14"/>
        <item x="15"/>
        <item x="17"/>
        <item x="34"/>
        <item x="52"/>
        <item x="3"/>
        <item x="39"/>
        <item x="43"/>
        <item x="11"/>
        <item x="0"/>
        <item x="42"/>
        <item x="18"/>
        <item x="4"/>
        <item x="8"/>
        <item x="41"/>
        <item x="46"/>
        <item x="44"/>
        <item x="12"/>
        <item x="9"/>
        <item x="27"/>
        <item x="53"/>
        <item x="30"/>
        <item x="37"/>
        <item x="62"/>
        <item x="50"/>
        <item x="55"/>
        <item x="22"/>
        <item x="58"/>
        <item x="57"/>
        <item x="33"/>
        <item x="29"/>
        <item x="47"/>
        <item x="20"/>
        <item x="2"/>
        <item x="19"/>
        <item x="54"/>
        <item x="6"/>
        <item x="28"/>
        <item x="35"/>
        <item x="24"/>
        <item x="31"/>
        <item x="21"/>
        <item x="61"/>
        <item x="48"/>
        <item x="45"/>
        <item x="13"/>
        <item x="40"/>
        <item x="60"/>
        <item x="32"/>
        <item x="1"/>
        <item x="16"/>
        <item x="5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items count="4">
        <item h="1" m="1" x="1"/>
        <item x="0"/>
        <item h="1" m="1" x="2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items count="12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m="1" x="3"/>
        <item m="1" x="2"/>
        <item m="1" x="4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h="1" x="1"/>
        <item x="6"/>
        <item x="5"/>
        <item x="3"/>
        <item x="4"/>
        <item x="7"/>
        <item x="0"/>
        <item x="2"/>
        <item h="1" m="1" x="9"/>
        <item h="1"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">
    <i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Проник. ВКАСКО, шт., %" fld="72" baseField="2" baseItem="4" numFmtId="165"/>
    <dataField name="Проник. ВКАСКО, руб., %" fld="73" baseField="2" baseItem="3" numFmtId="165"/>
    <dataField name="Проник. МКАСКО, шт., %" fld="74" baseField="2" baseItem="7" numFmtId="165"/>
    <dataField name="Проник. МКАСКО, руб., %" fld="75" baseField="2" baseItem="4" numFmtId="165"/>
    <dataField name="Проник. СЖ, шт., %" fld="76" baseField="2" baseItem="5" numFmtId="165"/>
    <dataField name="Проник. СЖ, руб., %" fld="77" baseField="2" baseItem="1" numFmtId="165"/>
    <dataField name="Проник. ДКАСКО, шт., %" fld="78" baseField="2" baseItem="7" numFmtId="165"/>
    <dataField name="Проник. ДКАСКО, руб., %" fld="79" baseField="2" baseItem="7" numFmtId="165"/>
    <dataField name="Проник. РАМК, шт., %" fld="80" baseField="2" baseItem="8" numFmtId="165"/>
    <dataField name="Проник. РАМК, руб., %" fld="81" baseField="2" baseItem="0" numFmtId="165"/>
    <dataField name="Проник. АВЛ, шт., %" fld="82" baseField="2" baseItem="5" numFmtId="165"/>
    <dataField name="Проник. АВЛ, руб., % " fld="83" baseField="2" baseItem="0" numFmtId="165"/>
  </dataFields>
  <formats count="31">
    <format dxfId="148">
      <pivotArea field="0" type="button" dataOnly="0" labelOnly="1" outline="0"/>
    </format>
    <format dxfId="147">
      <pivotArea field="1" type="button" dataOnly="0" labelOnly="1" outline="0" axis="axisRow" fieldPosition="0"/>
    </format>
    <format dxfId="146">
      <pivotArea field="0" type="button" dataOnly="0" labelOnly="1" outline="0"/>
    </format>
    <format dxfId="145">
      <pivotArea field="1" type="button" dataOnly="0" labelOnly="1" outline="0" axis="axisRow" fieldPosition="0"/>
    </format>
    <format dxfId="144">
      <pivotArea field="0" type="button" dataOnly="0" labelOnly="1" outline="0"/>
    </format>
    <format dxfId="143">
      <pivotArea field="1" type="button" dataOnly="0" labelOnly="1" outline="0" axis="axisRow" fieldPosition="0"/>
    </format>
    <format dxfId="142">
      <pivotArea field="2" type="button" dataOnly="0" labelOnly="1" outline="0"/>
    </format>
    <format dxfId="141">
      <pivotArea outline="0" fieldPosition="0">
        <references count="1">
          <reference field="4294967294" count="1">
            <x v="0"/>
          </reference>
        </references>
      </pivotArea>
    </format>
    <format dxfId="1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9">
      <pivotArea outline="0" fieldPosition="0">
        <references count="1">
          <reference field="4294967294" count="1">
            <x v="1"/>
          </reference>
        </references>
      </pivotArea>
    </format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3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33">
      <pivotArea outline="0" fieldPosition="0">
        <references count="1">
          <reference field="4294967294" count="1">
            <x v="4"/>
          </reference>
        </references>
      </pivotArea>
    </format>
    <format dxfId="13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1">
      <pivotArea outline="0" fieldPosition="0">
        <references count="1">
          <reference field="4294967294" count="1">
            <x v="5"/>
          </reference>
        </references>
      </pivotArea>
    </format>
    <format dxfId="13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29">
      <pivotArea outline="0" fieldPosition="0">
        <references count="1">
          <reference field="4294967294" count="1">
            <x v="6"/>
          </reference>
        </references>
      </pivotArea>
    </format>
    <format dxfId="128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27">
      <pivotArea outline="0" fieldPosition="0">
        <references count="1">
          <reference field="4294967294" count="1">
            <x v="7"/>
          </reference>
        </references>
      </pivotArea>
    </format>
    <format dxfId="12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25">
      <pivotArea outline="0" fieldPosition="0">
        <references count="1">
          <reference field="4294967294" count="1">
            <x v="8"/>
          </reference>
        </references>
      </pivotArea>
    </format>
    <format dxfId="124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123">
      <pivotArea outline="0" fieldPosition="0">
        <references count="1">
          <reference field="4294967294" count="1">
            <x v="9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121">
      <pivotArea outline="0" fieldPosition="0">
        <references count="1">
          <reference field="4294967294" count="1">
            <x v="10"/>
          </reference>
        </references>
      </pivotArea>
    </format>
    <format dxfId="120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119">
      <pivotArea outline="0" fieldPosition="0">
        <references count="1">
          <reference field="4294967294" count="1">
            <x v="11"/>
          </reference>
        </references>
      </pivotArea>
    </format>
    <format dxfId="118">
      <pivotArea dataOnly="0" labelOnly="1" outline="0" fieldPosition="0">
        <references count="1">
          <reference field="4294967294" count="1">
            <x v="1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t_Pivot_Misc" cacheId="99" applyNumberFormats="0" applyBorderFormats="0" applyFontFormats="0" applyPatternFormats="0" applyAlignmentFormats="0" applyWidthHeightFormats="1" dataCaption="Значения" updatedVersion="4" minRefreshableVersion="3" itemPrintTitles="1" createdVersion="4" indent="0" compact="0" compactData="0" multipleFieldFilters="0">
  <location ref="A13:F78" firstHeaderRow="0" firstDataRow="1" firstDataCol="2"/>
  <pivotFields count="91">
    <pivotField compact="0" numFmtId="14" outline="0" showAll="0" defaultSubtotal="0">
      <items count="14">
        <item m="1" x="1"/>
        <item m="1" x="2"/>
        <item m="1" x="3"/>
        <item m="1" x="4"/>
        <item m="1" x="5"/>
        <item m="1" x="6"/>
        <item m="1" x="7"/>
        <item m="1" x="10"/>
        <item m="1" x="13"/>
        <item m="1" x="12"/>
        <item m="1" x="11"/>
        <item m="1" x="8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Период (месяц)" axis="axisRow" compact="0" numFmtId="14" outline="0" showAll="0" sortType="ascending" defaultSubtotal="0">
      <items count="17">
        <item x="0"/>
        <item m="1" x="7"/>
        <item m="1" x="9"/>
        <item m="1" x="3"/>
        <item m="1" x="5"/>
        <item m="1" x="13"/>
        <item m="1" x="2"/>
        <item m="1" x="10"/>
        <item m="1" x="16"/>
        <item m="1" x="12"/>
        <item m="1" x="15"/>
        <item m="1" x="4"/>
        <item m="1" x="11"/>
        <item m="1" x="14"/>
        <item m="1" x="1"/>
        <item m="1" x="6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4">
        <item x="10"/>
        <item x="23"/>
        <item x="38"/>
        <item x="63"/>
        <item x="36"/>
        <item x="26"/>
        <item x="5"/>
        <item x="25"/>
        <item x="56"/>
        <item x="59"/>
        <item x="49"/>
        <item x="14"/>
        <item x="15"/>
        <item x="17"/>
        <item x="34"/>
        <item x="52"/>
        <item x="3"/>
        <item x="39"/>
        <item x="43"/>
        <item x="11"/>
        <item x="0"/>
        <item x="42"/>
        <item x="18"/>
        <item x="4"/>
        <item x="8"/>
        <item x="41"/>
        <item x="46"/>
        <item x="44"/>
        <item x="12"/>
        <item x="9"/>
        <item x="27"/>
        <item x="53"/>
        <item x="30"/>
        <item x="37"/>
        <item x="62"/>
        <item x="50"/>
        <item x="55"/>
        <item x="22"/>
        <item x="58"/>
        <item x="57"/>
        <item x="33"/>
        <item x="29"/>
        <item x="47"/>
        <item x="20"/>
        <item x="2"/>
        <item x="19"/>
        <item x="54"/>
        <item x="6"/>
        <item x="28"/>
        <item x="35"/>
        <item x="24"/>
        <item x="31"/>
        <item x="21"/>
        <item x="61"/>
        <item x="48"/>
        <item x="45"/>
        <item x="13"/>
        <item x="40"/>
        <item x="60"/>
        <item x="32"/>
        <item x="1"/>
        <item x="16"/>
        <item x="5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items count="4">
        <item h="1" m="1" x="1"/>
        <item x="0"/>
        <item h="1" m="1" x="2"/>
        <item h="1"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items count="12">
        <item h="1" m="1" x="5"/>
        <item h="1" m="1" x="2"/>
        <item h="1" m="1" x="6"/>
        <item h="1" m="1" x="11"/>
        <item h="1" m="1" x="1"/>
        <item h="1" m="1" x="3"/>
        <item h="1" m="1" x="4"/>
        <item h="1" m="1" x="7"/>
        <item h="1" m="1" x="8"/>
        <item h="1" m="1" x="9"/>
        <item h="1"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m="1" x="3"/>
        <item m="1" x="2"/>
        <item m="1" x="4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1"/>
        <item x="6"/>
        <item x="5"/>
        <item x="3"/>
        <item x="4"/>
        <item x="7"/>
        <item x="0"/>
        <item x="2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6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Сред. взв. чек, руб." fld="69" baseField="0" baseItem="0" numFmtId="3"/>
    <dataField name="Сред. взв. ставка % ГП" fld="70" baseField="2" baseItem="2" numFmtId="168"/>
    <dataField name="Сред. взв. срок кредита" fld="71" baseField="2" baseItem="2" numFmtId="168"/>
    <dataField name="Сред. взв. первонач. взнос" fld="87" baseField="2" baseItem="2" numFmtId="165"/>
  </dataFields>
  <formats count="16">
    <format dxfId="117">
      <pivotArea field="0" type="button" dataOnly="0" labelOnly="1" outline="0"/>
    </format>
    <format dxfId="116">
      <pivotArea field="1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">
      <pivotArea field="0" type="button" dataOnly="0" labelOnly="1" outline="0"/>
    </format>
    <format dxfId="113">
      <pivotArea field="1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">
      <pivotArea field="0" type="button" dataOnly="0" labelOnly="1" outline="0"/>
    </format>
    <format dxfId="110">
      <pivotArea field="1" type="button" dataOnly="0" labelOnly="1" outline="0" axis="axisRow" fieldPosition="0"/>
    </format>
    <format dxfId="1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">
      <pivotArea field="2" type="button" dataOnly="0" labelOnly="1" outline="0" axis="axisRow" fieldPosition="1"/>
    </format>
    <format dxfId="107">
      <pivotArea outline="0" fieldPosition="0">
        <references count="1">
          <reference field="4294967294" count="1">
            <x v="1"/>
          </reference>
        </references>
      </pivotArea>
    </format>
    <format dxfId="106">
      <pivotArea outline="0" fieldPosition="0">
        <references count="1">
          <reference field="4294967294" count="1">
            <x v="2"/>
          </reference>
        </references>
      </pivotArea>
    </format>
    <format dxfId="10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2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СводнаяТаблица2" cacheId="9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showHeaders="0" outline="1" outlineData="1" multipleFieldFilters="0">
  <location ref="B3:B4" firstHeaderRow="0" firstDataRow="0" firstDataCol="1"/>
  <pivotFields count="91">
    <pivotField numFmtId="14" showAll="0"/>
    <pivotField axis="axisRow" numFmtId="14" showAll="0">
      <items count="18">
        <item m="1" x="9"/>
        <item m="1" x="3"/>
        <item m="1" x="5"/>
        <item m="1" x="13"/>
        <item m="1" x="2"/>
        <item m="1" x="10"/>
        <item m="1" x="16"/>
        <item m="1" x="12"/>
        <item m="1" x="15"/>
        <item m="1" x="4"/>
        <item m="1" x="11"/>
        <item m="1" x="14"/>
        <item m="1" x="1"/>
        <item m="1" x="6"/>
        <item m="1" x="8"/>
        <item m="1" x="7"/>
        <item x="0"/>
        <item t="default"/>
      </items>
    </pivotField>
    <pivotField showAll="0"/>
    <pivotField numFmtId="3" showAll="0"/>
    <pivotField showAll="0"/>
    <pivotField numFmtId="165" showAll="0"/>
    <pivotField numFmtId="3" showAll="0"/>
    <pivotField numFmtId="3" showAll="0"/>
    <pivotField numFmtId="165" showAll="0"/>
    <pivotField numFmtId="3" showAll="0"/>
    <pivotField numFmtId="3" showAll="0"/>
    <pivotField showAll="0"/>
    <pivotField numFmtId="165" showAll="0"/>
    <pivotField numFmtId="3" showAll="0"/>
    <pivotField showAll="0"/>
    <pivotField showAll="0"/>
    <pivotField numFmtId="3" showAll="0"/>
    <pivotField showAll="0"/>
    <pivotField numFmtId="165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7" showAll="0"/>
    <pivotField numFmtId="167" showAll="0"/>
    <pivotField showAll="0" defaultSubtotal="0"/>
    <pivotField showAll="0" defaultSubtotal="0"/>
    <pivotField showAll="0" defaultSubtotal="0"/>
    <pivotField showAll="0" defaultSubtotal="0"/>
    <pivotField numFmtId="167" showAll="0" defaultSubtotal="0"/>
    <pivotField numFmtId="167" showAll="0" defaultSubtotal="0"/>
    <pivotField numFmtId="3" showAll="0"/>
    <pivotField showAll="0"/>
    <pivotField numFmtId="3" showAll="0"/>
    <pivotField showAll="0"/>
    <pivotField numFmtId="3" showAll="0"/>
    <pivotField numFmtId="3" showAl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">
    <i>
      <x v="16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Таблица1" cacheId="9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showHeaders="0" outline="1" outlineData="1" multipleFieldFilters="0">
  <location ref="A3:A4" firstHeaderRow="0" firstDataRow="0" firstDataCol="1"/>
  <pivotFields count="91">
    <pivotField axis="axisRow" numFmtId="14" showAll="0">
      <items count="15">
        <item m="1" x="10"/>
        <item m="1" x="7"/>
        <item m="1" x="6"/>
        <item m="1" x="5"/>
        <item m="1" x="4"/>
        <item m="1" x="3"/>
        <item m="1" x="2"/>
        <item m="1" x="1"/>
        <item m="1" x="13"/>
        <item m="1" x="12"/>
        <item m="1" x="11"/>
        <item m="1" x="8"/>
        <item x="0"/>
        <item m="1" x="9"/>
        <item t="default"/>
      </items>
    </pivotField>
    <pivotField numFmtId="14" showAll="0"/>
    <pivotField showAll="0"/>
    <pivotField numFmtId="3" showAll="0"/>
    <pivotField showAll="0"/>
    <pivotField numFmtId="165" showAll="0"/>
    <pivotField numFmtId="3" showAll="0"/>
    <pivotField numFmtId="3" showAll="0"/>
    <pivotField numFmtId="165" showAll="0"/>
    <pivotField numFmtId="3" showAll="0"/>
    <pivotField numFmtId="3" showAll="0"/>
    <pivotField showAll="0"/>
    <pivotField numFmtId="165" showAll="0"/>
    <pivotField numFmtId="3" showAll="0"/>
    <pivotField showAll="0"/>
    <pivotField showAll="0"/>
    <pivotField numFmtId="3" showAll="0"/>
    <pivotField showAll="0"/>
    <pivotField numFmtId="165"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numFmtId="167" showAll="0"/>
    <pivotField numFmtId="167" showAll="0"/>
    <pivotField showAll="0" defaultSubtotal="0"/>
    <pivotField showAll="0" defaultSubtotal="0"/>
    <pivotField showAll="0" defaultSubtotal="0"/>
    <pivotField showAll="0" defaultSubtotal="0"/>
    <pivotField numFmtId="167" showAll="0" defaultSubtotal="0"/>
    <pivotField numFmtId="167" showAll="0" defaultSubtotal="0"/>
    <pivotField numFmtId="3" showAll="0"/>
    <pivotField showAll="0"/>
    <pivotField numFmtId="3" showAll="0"/>
    <pivotField showAll="0"/>
    <pivotField numFmtId="3" showAll="0"/>
    <pivotField numFmtId="3" showAl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3" showAll="0" defaultSubtotal="0"/>
    <pivotField numFmtId="4"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2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AK" sourceName="MAK">
  <pivotTables>
    <pivotTable tabId="4" name="pivt_Pivot_Plan"/>
  </pivotTables>
  <data>
    <tabular pivotCacheId="1">
      <items count="64">
        <i x="10" s="1"/>
        <i x="23" s="1"/>
        <i x="38" s="1"/>
        <i x="63" s="1"/>
        <i x="1" s="1"/>
        <i x="36" s="1"/>
        <i x="26" s="1"/>
        <i x="5" s="1"/>
        <i x="25" s="1"/>
        <i x="56" s="1"/>
        <i x="59" s="1"/>
        <i x="49" s="1"/>
        <i x="14" s="1"/>
        <i x="15" s="1"/>
        <i x="17" s="1"/>
        <i x="34" s="1"/>
        <i x="52" s="1"/>
        <i x="3" s="1"/>
        <i x="39" s="1"/>
        <i x="43" s="1"/>
        <i x="11" s="1"/>
        <i x="0" s="1"/>
        <i x="42" s="1"/>
        <i x="18" s="1"/>
        <i x="4" s="1"/>
        <i x="8" s="1"/>
        <i x="41" s="1"/>
        <i x="46" s="1"/>
        <i x="44" s="1"/>
        <i x="12" s="1"/>
        <i x="9" s="1"/>
        <i x="27" s="1"/>
        <i x="53" s="1"/>
        <i x="30" s="1"/>
        <i x="37" s="1"/>
        <i x="62" s="1"/>
        <i x="50" s="1"/>
        <i x="55" s="1"/>
        <i x="22" s="1"/>
        <i x="58" s="1"/>
        <i x="57" s="1"/>
        <i x="33" s="1"/>
        <i x="29" s="1"/>
        <i x="47" s="1"/>
        <i x="20" s="1"/>
        <i x="2" s="1"/>
        <i x="19" s="1"/>
        <i x="54" s="1"/>
        <i x="6" s="1"/>
        <i x="28" s="1"/>
        <i x="35" s="1"/>
        <i x="24" s="1"/>
        <i x="31" s="1"/>
        <i x="21" s="1"/>
        <i x="7" s="1"/>
        <i x="61" s="1"/>
        <i x="48" s="1"/>
        <i x="45" s="1"/>
        <i x="13" s="1"/>
        <i x="40" s="1"/>
        <i x="60" s="1"/>
        <i x="51" s="1"/>
        <i x="32" s="1"/>
        <i x="1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AK1" sourceName="MAK">
  <pivotTables>
    <pivotTable tabId="5" name="pivt_Pivot_SU"/>
  </pivotTables>
  <data>
    <tabular pivotCacheId="1">
      <items count="64">
        <i x="10" s="1"/>
        <i x="23" s="1"/>
        <i x="38" s="1"/>
        <i x="63" s="1"/>
        <i x="36" s="1"/>
        <i x="26" s="1"/>
        <i x="5" s="1"/>
        <i x="25" s="1"/>
        <i x="56" s="1"/>
        <i x="59" s="1"/>
        <i x="49" s="1"/>
        <i x="14" s="1"/>
        <i x="15" s="1"/>
        <i x="17" s="1"/>
        <i x="34" s="1"/>
        <i x="52" s="1"/>
        <i x="3" s="1"/>
        <i x="39" s="1"/>
        <i x="43" s="1"/>
        <i x="11" s="1"/>
        <i x="0" s="1"/>
        <i x="42" s="1"/>
        <i x="18" s="1"/>
        <i x="4" s="1"/>
        <i x="8" s="1"/>
        <i x="41" s="1"/>
        <i x="46" s="1"/>
        <i x="44" s="1"/>
        <i x="12" s="1"/>
        <i x="9" s="1"/>
        <i x="27" s="1"/>
        <i x="53" s="1"/>
        <i x="30" s="1"/>
        <i x="37" s="1"/>
        <i x="62" s="1"/>
        <i x="50" s="1"/>
        <i x="55" s="1"/>
        <i x="22" s="1"/>
        <i x="58" s="1"/>
        <i x="57" s="1"/>
        <i x="33" s="1"/>
        <i x="29" s="1"/>
        <i x="47" s="1"/>
        <i x="20" s="1"/>
        <i x="2" s="1"/>
        <i x="19" s="1"/>
        <i x="54" s="1"/>
        <i x="6" s="1"/>
        <i x="28" s="1"/>
        <i x="35" s="1"/>
        <i x="24" s="1"/>
        <i x="31" s="1"/>
        <i x="21" s="1"/>
        <i x="61" s="1"/>
        <i x="48" s="1"/>
        <i x="45" s="1"/>
        <i x="13" s="1"/>
        <i x="40" s="1"/>
        <i x="60" s="1"/>
        <i x="32" s="1"/>
        <i x="16" s="1"/>
        <i x="1" s="1" nd="1"/>
        <i x="7" s="1" nd="1"/>
        <i x="5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AK2" sourceName="MAK">
  <pivotTables>
    <pivotTable tabId="6" name="pivt_Pivot_Misc"/>
  </pivotTables>
  <data>
    <tabular pivotCacheId="1">
      <items count="64">
        <i x="10" s="1"/>
        <i x="23" s="1"/>
        <i x="38" s="1"/>
        <i x="63" s="1"/>
        <i x="1" s="1"/>
        <i x="36" s="1"/>
        <i x="26" s="1"/>
        <i x="5" s="1"/>
        <i x="25" s="1"/>
        <i x="56" s="1"/>
        <i x="59" s="1"/>
        <i x="49" s="1"/>
        <i x="14" s="1"/>
        <i x="15" s="1"/>
        <i x="17" s="1"/>
        <i x="34" s="1"/>
        <i x="52" s="1"/>
        <i x="3" s="1"/>
        <i x="39" s="1"/>
        <i x="43" s="1"/>
        <i x="11" s="1"/>
        <i x="0" s="1"/>
        <i x="42" s="1"/>
        <i x="18" s="1"/>
        <i x="4" s="1"/>
        <i x="8" s="1"/>
        <i x="41" s="1"/>
        <i x="46" s="1"/>
        <i x="44" s="1"/>
        <i x="12" s="1"/>
        <i x="9" s="1"/>
        <i x="27" s="1"/>
        <i x="53" s="1"/>
        <i x="30" s="1"/>
        <i x="37" s="1"/>
        <i x="62" s="1"/>
        <i x="50" s="1"/>
        <i x="55" s="1"/>
        <i x="22" s="1"/>
        <i x="58" s="1"/>
        <i x="57" s="1"/>
        <i x="33" s="1"/>
        <i x="29" s="1"/>
        <i x="47" s="1"/>
        <i x="20" s="1"/>
        <i x="2" s="1"/>
        <i x="19" s="1"/>
        <i x="54" s="1"/>
        <i x="6" s="1"/>
        <i x="28" s="1"/>
        <i x="35" s="1"/>
        <i x="24" s="1"/>
        <i x="31" s="1"/>
        <i x="21" s="1"/>
        <i x="7" s="1"/>
        <i x="61" s="1"/>
        <i x="48" s="1"/>
        <i x="45" s="1"/>
        <i x="13" s="1"/>
        <i x="40" s="1"/>
        <i x="60" s="1"/>
        <i x="51" s="1"/>
        <i x="32" s="1"/>
        <i x="16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CURATORS2" sourceName="CURATORS">
  <pivotTables>
    <pivotTable tabId="6" name="pivt_Pivot_Misc"/>
  </pivotTables>
  <data>
    <tabular pivotCacheId="1">
      <items count="10">
        <i x="1" s="1"/>
        <i x="6" s="1"/>
        <i x="5" s="1"/>
        <i x="3" s="1"/>
        <i x="4" s="1"/>
        <i x="7" s="1"/>
        <i x="0" s="1"/>
        <i x="2" s="1"/>
        <i x="9" s="1" nd="1"/>
        <i x="8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QUARTER2" sourceName="QUARTER">
  <pivotTables>
    <pivotTable tabId="6" name="pivt_Pivot_Misc"/>
  </pivotTables>
  <data>
    <tabular pivotCacheId="1">
      <items count="5">
        <i x="0" s="1"/>
        <i x="3" s="1" nd="1"/>
        <i x="2" s="1" nd="1"/>
        <i x="4" s="1" nd="1"/>
        <i x="1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ONTH2" sourceName="MONTH">
  <pivotTables>
    <pivotTable tabId="6" name="pivt_Pivot_Misc"/>
  </pivotTables>
  <data>
    <tabular pivotCacheId="1">
      <items count="12">
        <i x="0" s="1"/>
        <i x="5" nd="1"/>
        <i x="2" nd="1"/>
        <i x="6" nd="1"/>
        <i x="11" nd="1"/>
        <i x="1" nd="1"/>
        <i x="3" nd="1"/>
        <i x="4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YEAR2" sourceName="YEAR">
  <pivotTables>
    <pivotTable tabId="6" name="pivt_Pivot_Misc"/>
  </pivotTables>
  <data>
    <tabular pivotCacheId="1">
      <items count="4">
        <i x="0" s="1"/>
        <i x="1" nd="1"/>
        <i x="2" nd="1"/>
        <i x="3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CURATORS1" sourceName="CURATORS">
  <pivotTables>
    <pivotTable tabId="5" name="pivt_Pivot_SU"/>
  </pivotTables>
  <data>
    <tabular pivotCacheId="1">
      <items count="10">
        <i x="1"/>
        <i x="6" s="1"/>
        <i x="5" s="1"/>
        <i x="3" s="1"/>
        <i x="4" s="1"/>
        <i x="7" s="1"/>
        <i x="0" s="1"/>
        <i x="2" s="1"/>
        <i x="9" nd="1"/>
        <i x="8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QUARTER1" sourceName="QUARTER">
  <pivotTables>
    <pivotTable tabId="5" name="pivt_Pivot_SU"/>
  </pivotTables>
  <data>
    <tabular pivotCacheId="1">
      <items count="5">
        <i x="0" s="1"/>
        <i x="3" s="1" nd="1"/>
        <i x="2" s="1" nd="1"/>
        <i x="4" s="1" nd="1"/>
        <i x="1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ONTH1" sourceName="MONTH">
  <pivotTables>
    <pivotTable tabId="5" name="pivt_Pivot_SU"/>
  </pivotTables>
  <data>
    <tabular pivotCacheId="1">
      <items count="12">
        <i x="0" s="1"/>
        <i x="5" s="1" nd="1"/>
        <i x="2" s="1" nd="1"/>
        <i x="6" s="1" nd="1"/>
        <i x="11" s="1" nd="1"/>
        <i x="1" s="1" nd="1"/>
        <i x="3" s="1" nd="1"/>
        <i x="4" s="1" nd="1"/>
        <i x="7" s="1" nd="1"/>
        <i x="8" s="1" nd="1"/>
        <i x="9" s="1" nd="1"/>
        <i x="1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YEAR1" sourceName="YEAR">
  <pivotTables>
    <pivotTable tabId="5" name="pivt_Pivot_SU"/>
  </pivotTables>
  <data>
    <tabular pivotCacheId="1">
      <items count="4">
        <i x="0" s="1"/>
        <i x="1" nd="1"/>
        <i x="2" nd="1"/>
        <i x="3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CURATORS" sourceName="CURATORS">
  <pivotTables>
    <pivotTable tabId="4" name="pivt_Pivot_Plan"/>
  </pivotTables>
  <data>
    <tabular pivotCacheId="1">
      <items count="10">
        <i x="1" s="1"/>
        <i x="6" s="1"/>
        <i x="5" s="1"/>
        <i x="3" s="1"/>
        <i x="4" s="1"/>
        <i x="7" s="1"/>
        <i x="0" s="1"/>
        <i x="2" s="1"/>
        <i x="9" s="1" nd="1"/>
        <i x="8" s="1" nd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QUARTER" sourceName="QUARTER">
  <pivotTables>
    <pivotTable tabId="4" name="pivt_Pivot_Plan"/>
  </pivotTables>
  <data>
    <tabular pivotCacheId="1">
      <items count="5">
        <i x="0" s="1"/>
        <i x="3" s="1" nd="1"/>
        <i x="2" s="1" nd="1"/>
        <i x="4" s="1" nd="1"/>
        <i x="1" s="1" nd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MONTH" sourceName="MONTH">
  <pivotTables>
    <pivotTable tabId="4" name="pivt_Pivot_Plan"/>
  </pivotTables>
  <data>
    <tabular pivotCacheId="1">
      <items count="12">
        <i x="0" s="1"/>
        <i x="5" nd="1"/>
        <i x="2" nd="1"/>
        <i x="6" nd="1"/>
        <i x="11" nd="1"/>
        <i x="1" nd="1"/>
        <i x="3" nd="1"/>
        <i x="4" nd="1"/>
        <i x="7" nd="1"/>
        <i x="8" nd="1"/>
        <i x="9" nd="1"/>
        <i x="10" nd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YEAR" sourceName="YEAR">
  <pivotTables>
    <pivotTable tabId="4" name="pivt_Pivot_Plan"/>
  </pivotTables>
  <data>
    <tabular pivotCacheId="1">
      <items count="4">
        <i x="0" s="1"/>
        <i x="1" s="1" nd="1"/>
        <i x="2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AK" cache="Срез_MAK" caption="MAK" columnCount="10" style="SlicerStyleOther2" rowHeight="241300"/>
  <slicer name="CURATORS" cache="Срез_CURATORS" caption="CURATORS" columnCount="2" style="SlicerStyleLight4" rowHeight="241300"/>
  <slicer name="QUARTER" cache="Срез_QUARTER" caption="QUARTER" style="SlicerStyleOther2" rowHeight="241300"/>
  <slicer name="MONTH" cache="Срез_MONTH" caption="MONTH" columnCount="4" style="SlicerStyleOther2" rowHeight="241300"/>
  <slicer name="YEAR" cache="Срез_YEAR" caption="YEA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AK 1" cache="Срез_MAK1" caption="MAK" columnCount="10" style="SlicerStyleOther2" rowHeight="241300"/>
  <slicer name="CURATORS 1" cache="Срез_CURATORS1" caption="CURATORS" columnCount="2" style="SlicerStyleLight4" rowHeight="241300"/>
  <slicer name="QUARTER 1" cache="Срез_QUARTER1" caption="QUARTER" style="SlicerStyleOther2" rowHeight="241300"/>
  <slicer name="MONTH 1" cache="Срез_MONTH1" caption="MONTH" columnCount="4" style="SlicerStyleOther2" rowHeight="241300"/>
  <slicer name="YEAR 1" cache="Срез_YEAR1" caption="YEAR" columnCount="3" style="SlicerStyleOther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AK 2" cache="Срез_MAK2" caption="MAK" columnCount="10" style="SlicerStyleOther2" rowHeight="241300"/>
  <slicer name="CURATORS 2" cache="Срез_CURATORS2" caption="CURATORS" columnCount="2" style="SlicerStyleLight4" rowHeight="241300"/>
  <slicer name="QUARTER 2" cache="Срез_QUARTER2" caption="QUARTER" style="SlicerStyleOther2" rowHeight="241300"/>
  <slicer name="MONTH 2" cache="Срез_MONTH2" caption="MONTH" columnCount="4" style="SlicerStyleOther2" rowHeight="241300"/>
  <slicer name="YEAR 2" cache="Срез_YEAR2" caption="YEAR" columnCount="3" style="SlicerStyleOther2" rowHeight="241300"/>
</slicers>
</file>

<file path=xl/tables/table1.xml><?xml version="1.0" encoding="utf-8"?>
<table xmlns="http://schemas.openxmlformats.org/spreadsheetml/2006/main" id="1" name="tPanel_Export" displayName="tPanel_Export" ref="A1:BL65" headerRowDxfId="101">
  <autoFilter ref="A1:BL65"/>
  <tableColumns count="64">
    <tableColumn id="21" name="DATE_FROM" dataDxfId="100"/>
    <tableColumn id="22" name="DATE_TO" dataDxfId="99"/>
    <tableColumn id="1" name="MAK" totalsRowLabel="Итог"/>
    <tableColumn id="2" name="TOTAL_COUNT_PLAN" totalsRowFunction="sum" dataDxfId="98" totalsRowDxfId="97"/>
    <tableColumn id="3" name="TOTAL_COUNT_FACT" totalsRowFunction="sum" dataDxfId="96" totalsRowDxfId="95"/>
    <tableColumn id="4" name="ISPOL_PLANA_COUNT" totalsRowFunction="custom" dataDxfId="94" totalsRowDxfId="93" dataCellStyle="Процентный">
      <totalsRowFormula>tPanel_Export[[#Totals],[TOTAL_COUNT_FACT]]/tPanel_Export[[#Totals],[TOTAL_COUNT_PLAN]]</totalsRowFormula>
    </tableColumn>
    <tableColumn id="5" name="TOTAL_SUM_PLAN" totalsRowFunction="sum" dataDxfId="92" totalsRowDxfId="91"/>
    <tableColumn id="6" name="TOTAL_SUM_FACT" totalsRowFunction="sum" dataDxfId="90" totalsRowDxfId="89"/>
    <tableColumn id="7" name="ISPOL_PLANA_SUM" totalsRowFunction="custom" dataDxfId="88" totalsRowDxfId="87" dataCellStyle="Процентный">
      <totalsRowFormula>tPanel_Export[[#Totals],[TOTAL_SUM_FACT]]/tPanel_Export[[#Totals],[TOTAL_SUM_PLAN]]</totalsRowFormula>
    </tableColumn>
    <tableColumn id="8" name="MEDIUM_CHECK" totalsRowFunction="average" dataDxfId="86" totalsRowDxfId="85"/>
    <tableColumn id="9" name="FP_COUNT_PLAN" totalsRowFunction="sum" dataDxfId="84" totalsRowDxfId="83"/>
    <tableColumn id="10" name="FP_COUNT_FACT" totalsRowFunction="sum" dataDxfId="82" totalsRowDxfId="81"/>
    <tableColumn id="11" name="ISPOL_PLANA_FP" totalsRowFunction="custom" dataDxfId="80" totalsRowDxfId="79" dataCellStyle="Процентный">
      <totalsRowFormula>tPanel_Export[[#Totals],[FP_COUNT_FACT]]/tPanel_Export[[#Totals],[FP_COUNT_PLAN]]</totalsRowFormula>
    </tableColumn>
    <tableColumn id="12" name="neFP_COUNT_PLAN" totalsRowFunction="sum" dataDxfId="78" totalsRowDxfId="77"/>
    <tableColumn id="13" name="neFP_COUNT_FACT" totalsRowFunction="sum" dataDxfId="76" totalsRowDxfId="75"/>
    <tableColumn id="14" name="ISPOL_PLANA_neFP" totalsRowFunction="custom" dataDxfId="74" totalsRowDxfId="73" dataCellStyle="Процентный">
      <totalsRowFormula>tPanel_Export[[#Totals],[neFP_COUNT_FACT]]/tPanel_Export[[#Totals],[neFP_COUNT_PLAN]]</totalsRowFormula>
    </tableColumn>
    <tableColumn id="15" name="ASP_D_COUNT_PLAN" totalsRowFunction="sum" dataDxfId="72" totalsRowDxfId="71"/>
    <tableColumn id="16" name="ASP_D_COUNT_FACT" totalsRowFunction="sum" dataDxfId="70" totalsRowDxfId="69"/>
    <tableColumn id="17" name="ISPOL_PLANA_ASP_D" totalsRowFunction="custom" dataDxfId="68" totalsRowDxfId="67" dataCellStyle="Процентный">
      <totalsRowFormula>tPanel_Export[[#Totals],[ASP_D_COUNT_FACT]]/tPanel_Export[[#Totals],[ASP_D_COUNT_PLAN]]</totalsRowFormula>
    </tableColumn>
    <tableColumn id="18" name="C2C_COUNT_PLAN" totalsRowFunction="sum" dataDxfId="66" totalsRowDxfId="65"/>
    <tableColumn id="19" name="C2C_COUNT_FACT" totalsRowFunction="sum" dataDxfId="64" totalsRowDxfId="63"/>
    <tableColumn id="20" name="ISPOL_PLANA_C2C" totalsRowFunction="custom" dataDxfId="62" totalsRowDxfId="61" dataCellStyle="Процентный">
      <totalsRowFormula>tPanel_Export[[#Totals],[C2C_COUNT_FACT]]/tPanel_Export[[#Totals],[C2C_COUNT_PLAN]]</totalsRowFormula>
    </tableColumn>
    <tableColumn id="27" name="VKASKO_PENET_SHT" dataDxfId="60" totalsRowDxfId="59" dataCellStyle="Процентный"/>
    <tableColumn id="28" name="VKASKO_PENET_RUB" dataDxfId="58" totalsRowDxfId="57" dataCellStyle="Процентный"/>
    <tableColumn id="29" name="MKASKO_PENET_SHT" dataDxfId="56" totalsRowDxfId="55" dataCellStyle="Процентный"/>
    <tableColumn id="30" name="MKASKO_PENET_RUB" dataDxfId="54" totalsRowDxfId="53" dataCellStyle="Процентный"/>
    <tableColumn id="31" name="SJ_PENET_SHT" dataDxfId="52" totalsRowDxfId="51" dataCellStyle="Процентный"/>
    <tableColumn id="32" name="SJ_PENET_RUB" dataDxfId="50" totalsRowDxfId="49" dataCellStyle="Процентный"/>
    <tableColumn id="33" name="DKASKO_PENET_SHT" dataDxfId="48" totalsRowDxfId="47" dataCellStyle="Процентный"/>
    <tableColumn id="34" name="DKASKO_PENET_RUB" dataDxfId="46" totalsRowDxfId="45" dataCellStyle="Процентный"/>
    <tableColumn id="35" name="RAMK_PENET_SHT" dataDxfId="44" totalsRowDxfId="43" dataCellStyle="Процентный"/>
    <tableColumn id="36" name="RAMK_PENET_RUB" dataDxfId="42" totalsRowDxfId="41" dataCellStyle="Процентный"/>
    <tableColumn id="37" name="AVL_PENET_SHT" dataDxfId="40" totalsRowDxfId="39" dataCellStyle="Процентный"/>
    <tableColumn id="38" name="AVL_PENET_RUB" dataDxfId="38" totalsRowDxfId="37" dataCellStyle="Процентный"/>
    <tableColumn id="39" name="STAVKAGP" dataDxfId="36" totalsRowDxfId="35" dataCellStyle="Процентный"/>
    <tableColumn id="40" name="SROKKRED" dataDxfId="34" totalsRowDxfId="33" dataCellStyle="Процентный"/>
    <tableColumn id="56" name="AB_COUNT_PLAN" dataDxfId="32" totalsRowDxfId="31" dataCellStyle="Процентный"/>
    <tableColumn id="57" name="AB_COUNT_FACT" dataDxfId="30" totalsRowDxfId="29" dataCellStyle="Процентный"/>
    <tableColumn id="58" name="SV_PV" dataDxfId="28" totalsRowDxfId="27" dataCellStyle="Процентный"/>
    <tableColumn id="60" name="VEHICLE_COST_RUR_AMT" totalsRowDxfId="26"/>
    <tableColumn id="61" name="ASP_COUNT_PLAN" dataDxfId="25" totalsRowDxfId="24">
      <calculatedColumnFormula>tPanel_Export[[#This Row],[ASP_D_COUNT_PLAN]]+tPanel_Export[[#This Row],[C2C_COUNT_PLAN]]</calculatedColumnFormula>
    </tableColumn>
    <tableColumn id="62" name="ASP_COUNT_FACT" dataDxfId="23" totalsRowDxfId="22">
      <calculatedColumnFormula>tPanel_Export[[#This Row],[ASP_D_COUNT_FACT]]+tPanel_Export[[#This Row],[C2C_COUNT_FACT]]</calculatedColumnFormula>
    </tableColumn>
    <tableColumn id="23" name="MEDIUM_CHECK_weighted_value" dataDxfId="21">
      <calculatedColumnFormula>tPanel_Export[[#This Row],[MEDIUM_CHECK]]*tPanel_Export[[#This Row],[TOTAL_COUNT_FACT]]</calculatedColumnFormula>
    </tableColumn>
    <tableColumn id="24" name="YEAR" dataDxfId="20">
      <calculatedColumnFormula>YEAR(tPanel_Export[[#This Row],[DATE_TO]])</calculatedColumnFormula>
    </tableColumn>
    <tableColumn id="25" name="MONTH" dataDxfId="19">
      <calculatedColumnFormula>MONTH(tPanel_Export[[#This Row],[DATE_TO]])</calculatedColumnFormula>
    </tableColumn>
    <tableColumn id="26" name="QUARTER" dataDxfId="18">
      <calculatedColumnFormula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calculatedColumnFormula>
    </tableColumn>
    <tableColumn id="41" name="STAVKAGP_weighted_value" dataDxfId="17">
      <calculatedColumnFormula>tPanel_Export[[#This Row],[STAVKAGP]]*tPanel_Export[[#This Row],[TOTAL_SUM_FACT]]</calculatedColumnFormula>
    </tableColumn>
    <tableColumn id="42" name="SROKKRED_weighted_value" dataDxfId="16">
      <calculatedColumnFormula>tPanel_Export[[#This Row],[SROKKRED]]*tPanel_Export[[#This Row],[TOTAL_SUM_FACT]]</calculatedColumnFormula>
    </tableColumn>
    <tableColumn id="59" name="SV_PV_weighted_value" dataDxfId="15">
      <calculatedColumnFormula>tPanel_Export[[#This Row],[SV_PV]]*tPanel_Export[[#This Row],[VEHICLE_COST_RUR_AMT]]</calculatedColumnFormula>
    </tableColumn>
    <tableColumn id="43" name="VKASKO_PENET_SHT_weighted_value" dataDxfId="14">
      <calculatedColumnFormula>tPanel_Export[[#This Row],[VKASKO_PENET_SHT]]*tPanel_Export[[#This Row],[TOTAL_COUNT_FACT]]</calculatedColumnFormula>
    </tableColumn>
    <tableColumn id="44" name="VKASKO_PENET_RUB_weighted_value" dataDxfId="13">
      <calculatedColumnFormula>tPanel_Export[[#This Row],[VKASKO_PENET_RUB]]*tPanel_Export[[#This Row],[TOTAL_SUM_FACT]]</calculatedColumnFormula>
    </tableColumn>
    <tableColumn id="45" name="MKASKO_PENET_SHT_weighted_value" dataDxfId="12">
      <calculatedColumnFormula>tPanel_Export[[#This Row],[MKASKO_PENET_SHT]]*tPanel_Export[[#This Row],[TOTAL_COUNT_FACT]]</calculatedColumnFormula>
    </tableColumn>
    <tableColumn id="46" name="MKASKO_PENET_RUB_weighted_value" dataDxfId="11">
      <calculatedColumnFormula>tPanel_Export[[#This Row],[MKASKO_PENET_RUB]]*tPanel_Export[[#This Row],[TOTAL_SUM_FACT]]</calculatedColumnFormula>
    </tableColumn>
    <tableColumn id="47" name="SJ_PENET_SHT_weighted_value" dataDxfId="10">
      <calculatedColumnFormula>tPanel_Export[[#This Row],[SJ_PENET_SHT]]*tPanel_Export[[#This Row],[TOTAL_COUNT_FACT]]</calculatedColumnFormula>
    </tableColumn>
    <tableColumn id="48" name="SJ_PENET_RUB_weighted_value" dataDxfId="9">
      <calculatedColumnFormula>tPanel_Export[[#This Row],[SJ_PENET_RUB]]*tPanel_Export[[#This Row],[TOTAL_SUM_FACT]]</calculatedColumnFormula>
    </tableColumn>
    <tableColumn id="49" name="DKASKO_PENET_SHT_weighted_value" dataDxfId="8">
      <calculatedColumnFormula>tPanel_Export[[#This Row],[DKASKO_PENET_SHT]]*tPanel_Export[[#This Row],[TOTAL_COUNT_FACT]]</calculatedColumnFormula>
    </tableColumn>
    <tableColumn id="50" name="DKASKO_PENET_RUB_weighted_value" dataDxfId="7">
      <calculatedColumnFormula>tPanel_Export[[#This Row],[DKASKO_PENET_RUB]]*tPanel_Export[[#This Row],[TOTAL_SUM_FACT]]</calculatedColumnFormula>
    </tableColumn>
    <tableColumn id="51" name="RAMK_PENET_SHT_weighted_value" dataDxfId="6">
      <calculatedColumnFormula>tPanel_Export[[#This Row],[RAMK_PENET_SHT]]*tPanel_Export[[#This Row],[TOTAL_COUNT_FACT]]</calculatedColumnFormula>
    </tableColumn>
    <tableColumn id="52" name="RAMK_PENET_RUB_weighted_value" dataDxfId="5">
      <calculatedColumnFormula>tPanel_Export[[#This Row],[RAMK_PENET_RUB]]*tPanel_Export[[#This Row],[TOTAL_SUM_FACT]]</calculatedColumnFormula>
    </tableColumn>
    <tableColumn id="53" name="AVL_PENET_SHT_weighted_value" dataDxfId="4">
      <calculatedColumnFormula>tPanel_Export[[#This Row],[AVL_PENET_SHT]]*tPanel_Export[[#This Row],[TOTAL_COUNT_FACT]]</calculatedColumnFormula>
    </tableColumn>
    <tableColumn id="54" name="AVL_PENET_RUB_weighted_value" dataDxfId="3">
      <calculatedColumnFormula>tPanel_Export[[#This Row],[AVL_PENET_RUB]]*tPanel_Export[[#This Row],[TOTAL_SUM_FACT]]</calculatedColumnFormula>
    </tableColumn>
    <tableColumn id="64" name="Единица" dataDxfId="2">
      <calculatedColumnFormula>1</calculatedColumnFormula>
    </tableColumn>
    <tableColumn id="63" name="Прогнозный_коэф" dataDxfId="1">
      <calculatedColumnFormula>IFERROR(IF(VLOOKUP(tPanel_Export[[#This Row],[DATE_TO]],Extra2!A:C,3,0)="месяц закрыт",1,$BR$1),1)</calculatedColumnFormula>
    </tableColumn>
    <tableColumn id="55" name="CURATORS" dataDxfId="0">
      <calculatedColumnFormula>VLOOKUP(tPanel_Export[[#This Row],[MAK]],Curators!A:B,2,0)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microsoft.com/office/2007/relationships/slicer" Target="../slicers/slicer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microsoft.com/office/2007/relationships/slicer" Target="../slicers/slicer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0070C0"/>
  </sheetPr>
  <dimension ref="A5:AB78"/>
  <sheetViews>
    <sheetView showGridLines="0" tabSelected="1" zoomScale="85" zoomScaleNormal="85" workbookViewId="0">
      <pane ySplit="13" topLeftCell="A14" activePane="bottomLeft" state="frozen"/>
      <selection pane="bottomLeft" activeCell="C13" sqref="C13"/>
    </sheetView>
  </sheetViews>
  <sheetFormatPr defaultRowHeight="15" x14ac:dyDescent="0.25"/>
  <cols>
    <col min="1" max="2" width="12.7109375" customWidth="1"/>
    <col min="3" max="4" width="11.42578125" customWidth="1"/>
    <col min="5" max="6" width="14.5703125" customWidth="1"/>
    <col min="7" max="7" width="14.42578125" customWidth="1"/>
    <col min="8" max="20" width="11.42578125" customWidth="1"/>
    <col min="23" max="23" width="10.85546875" customWidth="1"/>
    <col min="26" max="26" width="11.85546875" customWidth="1"/>
    <col min="27" max="27" width="12.7109375" customWidth="1"/>
    <col min="28" max="28" width="12.85546875" customWidth="1"/>
  </cols>
  <sheetData>
    <row r="5" spans="1:28" x14ac:dyDescent="0.25">
      <c r="A5" s="12"/>
      <c r="B5" s="12"/>
    </row>
    <row r="6" spans="1:28" x14ac:dyDescent="0.25">
      <c r="A6" s="12"/>
      <c r="B6" s="12"/>
    </row>
    <row r="7" spans="1:28" x14ac:dyDescent="0.25">
      <c r="A7" s="12"/>
      <c r="B7" s="12"/>
    </row>
    <row r="8" spans="1:28" x14ac:dyDescent="0.25">
      <c r="A8" s="12"/>
      <c r="B8" s="12"/>
    </row>
    <row r="9" spans="1:28" x14ac:dyDescent="0.25">
      <c r="A9" s="12"/>
      <c r="B9" s="12"/>
    </row>
    <row r="13" spans="1:28" ht="75" x14ac:dyDescent="0.25">
      <c r="A13" s="9" t="s">
        <v>159</v>
      </c>
      <c r="B13" s="9" t="s">
        <v>0</v>
      </c>
      <c r="C13" s="4" t="s">
        <v>85</v>
      </c>
      <c r="D13" s="4" t="s">
        <v>86</v>
      </c>
      <c r="E13" s="4" t="s">
        <v>89</v>
      </c>
      <c r="F13" s="4" t="s">
        <v>87</v>
      </c>
      <c r="G13" s="4" t="s">
        <v>88</v>
      </c>
      <c r="H13" s="4" t="s">
        <v>90</v>
      </c>
      <c r="I13" s="4" t="s">
        <v>91</v>
      </c>
      <c r="J13" s="4" t="s">
        <v>92</v>
      </c>
      <c r="K13" s="4" t="s">
        <v>93</v>
      </c>
      <c r="L13" s="4" t="s">
        <v>94</v>
      </c>
      <c r="M13" s="4" t="s">
        <v>95</v>
      </c>
      <c r="N13" s="4" t="s">
        <v>96</v>
      </c>
      <c r="O13" s="4" t="s">
        <v>97</v>
      </c>
      <c r="P13" s="4" t="s">
        <v>98</v>
      </c>
      <c r="Q13" s="4" t="s">
        <v>99</v>
      </c>
      <c r="R13" s="4" t="s">
        <v>164</v>
      </c>
      <c r="S13" s="4" t="s">
        <v>100</v>
      </c>
      <c r="T13" s="4" t="s">
        <v>165</v>
      </c>
      <c r="U13" s="4" t="s">
        <v>162</v>
      </c>
      <c r="V13" s="4" t="s">
        <v>163</v>
      </c>
      <c r="W13" s="4" t="s">
        <v>166</v>
      </c>
      <c r="X13" s="4" t="s">
        <v>176</v>
      </c>
      <c r="Y13" s="4" t="s">
        <v>177</v>
      </c>
      <c r="Z13" s="4" t="s">
        <v>178</v>
      </c>
      <c r="AA13" s="4" t="s">
        <v>181</v>
      </c>
      <c r="AB13" s="4" t="s">
        <v>182</v>
      </c>
    </row>
    <row r="14" spans="1:28" x14ac:dyDescent="0.25">
      <c r="A14" s="5">
        <v>42369</v>
      </c>
      <c r="B14" t="s">
        <v>58</v>
      </c>
      <c r="C14" s="1"/>
      <c r="D14" s="1">
        <v>293</v>
      </c>
      <c r="E14" s="2" t="e">
        <v>#DIV/0!</v>
      </c>
      <c r="F14" s="1"/>
      <c r="G14" s="1">
        <v>152045651.99000001</v>
      </c>
      <c r="H14" s="2" t="e">
        <v>#DIV/0!</v>
      </c>
      <c r="I14" s="1"/>
      <c r="J14" s="1">
        <v>141</v>
      </c>
      <c r="K14" s="2" t="e">
        <v>#DIV/0!</v>
      </c>
      <c r="L14" s="1"/>
      <c r="M14" s="1">
        <v>107</v>
      </c>
      <c r="N14" s="2" t="e">
        <v>#DIV/0!</v>
      </c>
      <c r="O14" s="1"/>
      <c r="P14" s="1">
        <v>9</v>
      </c>
      <c r="Q14" s="2" t="e">
        <v>#DIV/0!</v>
      </c>
      <c r="R14" s="1">
        <v>0</v>
      </c>
      <c r="S14" s="1">
        <v>0</v>
      </c>
      <c r="T14" s="2">
        <v>0</v>
      </c>
      <c r="U14" s="1"/>
      <c r="V14" s="1">
        <v>36</v>
      </c>
      <c r="W14" s="2" t="e">
        <v>#DIV/0!</v>
      </c>
      <c r="X14" s="1">
        <v>0</v>
      </c>
      <c r="Y14" s="1">
        <v>9</v>
      </c>
      <c r="Z14" s="2" t="e">
        <v>#DIV/0!</v>
      </c>
      <c r="AA14" s="2">
        <v>0</v>
      </c>
      <c r="AB14" s="2">
        <v>0</v>
      </c>
    </row>
    <row r="15" spans="1:28" x14ac:dyDescent="0.25">
      <c r="A15" s="5">
        <v>42369</v>
      </c>
      <c r="B15" t="s">
        <v>49</v>
      </c>
      <c r="C15" s="1"/>
      <c r="D15" s="1">
        <v>505</v>
      </c>
      <c r="E15" s="2" t="e">
        <v>#DIV/0!</v>
      </c>
      <c r="F15" s="1"/>
      <c r="G15" s="1">
        <v>207992118.86000001</v>
      </c>
      <c r="H15" s="2" t="e">
        <v>#DIV/0!</v>
      </c>
      <c r="I15" s="1"/>
      <c r="J15" s="1">
        <v>419</v>
      </c>
      <c r="K15" s="2" t="e">
        <v>#DIV/0!</v>
      </c>
      <c r="L15" s="1"/>
      <c r="M15" s="1">
        <v>36</v>
      </c>
      <c r="N15" s="2" t="e">
        <v>#DIV/0!</v>
      </c>
      <c r="O15" s="1"/>
      <c r="P15" s="1">
        <v>22</v>
      </c>
      <c r="Q15" s="2" t="e">
        <v>#DIV/0!</v>
      </c>
      <c r="R15" s="1">
        <v>0</v>
      </c>
      <c r="S15" s="1">
        <v>0</v>
      </c>
      <c r="T15" s="2">
        <v>0</v>
      </c>
      <c r="U15" s="1"/>
      <c r="V15" s="1">
        <v>28</v>
      </c>
      <c r="W15" s="2" t="e">
        <v>#DIV/0!</v>
      </c>
      <c r="X15" s="1">
        <v>0</v>
      </c>
      <c r="Y15" s="1">
        <v>22</v>
      </c>
      <c r="Z15" s="2" t="e">
        <v>#DIV/0!</v>
      </c>
      <c r="AA15" s="2">
        <v>0</v>
      </c>
      <c r="AB15" s="2">
        <v>0</v>
      </c>
    </row>
    <row r="16" spans="1:28" x14ac:dyDescent="0.25">
      <c r="A16" s="5">
        <v>42369</v>
      </c>
      <c r="B16" t="s">
        <v>51</v>
      </c>
      <c r="C16" s="1"/>
      <c r="D16" s="1">
        <v>643</v>
      </c>
      <c r="E16" s="2" t="e">
        <v>#DIV/0!</v>
      </c>
      <c r="F16" s="1"/>
      <c r="G16" s="1">
        <v>353439507.44999999</v>
      </c>
      <c r="H16" s="2" t="e">
        <v>#DIV/0!</v>
      </c>
      <c r="I16" s="1"/>
      <c r="J16" s="1">
        <v>439</v>
      </c>
      <c r="K16" s="2" t="e">
        <v>#DIV/0!</v>
      </c>
      <c r="L16" s="1"/>
      <c r="M16" s="1">
        <v>140</v>
      </c>
      <c r="N16" s="2" t="e">
        <v>#DIV/0!</v>
      </c>
      <c r="O16" s="1"/>
      <c r="P16" s="1">
        <v>26</v>
      </c>
      <c r="Q16" s="2" t="e">
        <v>#DIV/0!</v>
      </c>
      <c r="R16" s="1">
        <v>0</v>
      </c>
      <c r="S16" s="1">
        <v>0</v>
      </c>
      <c r="T16" s="2">
        <v>0</v>
      </c>
      <c r="U16" s="1"/>
      <c r="V16" s="1">
        <v>38</v>
      </c>
      <c r="W16" s="2" t="e">
        <v>#DIV/0!</v>
      </c>
      <c r="X16" s="1">
        <v>0</v>
      </c>
      <c r="Y16" s="1">
        <v>26</v>
      </c>
      <c r="Z16" s="2" t="e">
        <v>#DIV/0!</v>
      </c>
      <c r="AA16" s="2">
        <v>0</v>
      </c>
      <c r="AB16" s="2">
        <v>0</v>
      </c>
    </row>
    <row r="17" spans="1:28" x14ac:dyDescent="0.25">
      <c r="A17" s="5">
        <v>42369</v>
      </c>
      <c r="B17" t="s">
        <v>36</v>
      </c>
      <c r="C17" s="1"/>
      <c r="D17" s="1">
        <v>627</v>
      </c>
      <c r="E17" s="2" t="e">
        <v>#DIV/0!</v>
      </c>
      <c r="F17" s="1"/>
      <c r="G17" s="1">
        <v>301122790.87</v>
      </c>
      <c r="H17" s="2" t="e">
        <v>#DIV/0!</v>
      </c>
      <c r="I17" s="1"/>
      <c r="J17" s="1">
        <v>408</v>
      </c>
      <c r="K17" s="2" t="e">
        <v>#DIV/0!</v>
      </c>
      <c r="L17" s="1"/>
      <c r="M17" s="1">
        <v>152</v>
      </c>
      <c r="N17" s="2" t="e">
        <v>#DIV/0!</v>
      </c>
      <c r="O17" s="1"/>
      <c r="P17" s="1">
        <v>13</v>
      </c>
      <c r="Q17" s="2" t="e">
        <v>#DIV/0!</v>
      </c>
      <c r="R17" s="1">
        <v>0</v>
      </c>
      <c r="S17" s="1">
        <v>0</v>
      </c>
      <c r="T17" s="2">
        <v>0</v>
      </c>
      <c r="U17" s="1"/>
      <c r="V17" s="1">
        <v>54</v>
      </c>
      <c r="W17" s="2" t="e">
        <v>#DIV/0!</v>
      </c>
      <c r="X17" s="1">
        <v>0</v>
      </c>
      <c r="Y17" s="1">
        <v>13</v>
      </c>
      <c r="Z17" s="2" t="e">
        <v>#DIV/0!</v>
      </c>
      <c r="AA17" s="2">
        <v>0</v>
      </c>
      <c r="AB17" s="2">
        <v>0</v>
      </c>
    </row>
    <row r="18" spans="1:28" x14ac:dyDescent="0.25">
      <c r="A18" s="5">
        <v>42369</v>
      </c>
      <c r="B18" t="s">
        <v>53</v>
      </c>
      <c r="C18" s="1"/>
      <c r="D18" s="1">
        <v>311</v>
      </c>
      <c r="E18" s="2" t="e">
        <v>#DIV/0!</v>
      </c>
      <c r="F18" s="1"/>
      <c r="G18" s="1">
        <v>124586635.45999999</v>
      </c>
      <c r="H18" s="2" t="e">
        <v>#DIV/0!</v>
      </c>
      <c r="I18" s="1"/>
      <c r="J18" s="1">
        <v>231</v>
      </c>
      <c r="K18" s="2" t="e">
        <v>#DIV/0!</v>
      </c>
      <c r="L18" s="1"/>
      <c r="M18" s="1">
        <v>57</v>
      </c>
      <c r="N18" s="2" t="e">
        <v>#DIV/0!</v>
      </c>
      <c r="O18" s="1"/>
      <c r="P18" s="1">
        <v>10</v>
      </c>
      <c r="Q18" s="2" t="e">
        <v>#DIV/0!</v>
      </c>
      <c r="R18" s="1">
        <v>0</v>
      </c>
      <c r="S18" s="1">
        <v>0</v>
      </c>
      <c r="T18" s="2">
        <v>0</v>
      </c>
      <c r="U18" s="1"/>
      <c r="V18" s="1">
        <v>13</v>
      </c>
      <c r="W18" s="2" t="e">
        <v>#DIV/0!</v>
      </c>
      <c r="X18" s="1">
        <v>0</v>
      </c>
      <c r="Y18" s="1">
        <v>10</v>
      </c>
      <c r="Z18" s="2" t="e">
        <v>#DIV/0!</v>
      </c>
      <c r="AA18" s="2">
        <v>0</v>
      </c>
      <c r="AB18" s="2">
        <v>0</v>
      </c>
    </row>
    <row r="19" spans="1:28" x14ac:dyDescent="0.25">
      <c r="A19" s="5">
        <v>42369</v>
      </c>
      <c r="B19" t="s">
        <v>24</v>
      </c>
      <c r="C19" s="1"/>
      <c r="D19" s="1">
        <v>314</v>
      </c>
      <c r="E19" s="2" t="e">
        <v>#DIV/0!</v>
      </c>
      <c r="F19" s="1"/>
      <c r="G19" s="1">
        <v>125746409.06999999</v>
      </c>
      <c r="H19" s="2" t="e">
        <v>#DIV/0!</v>
      </c>
      <c r="I19" s="1"/>
      <c r="J19" s="1">
        <v>239</v>
      </c>
      <c r="K19" s="2" t="e">
        <v>#DIV/0!</v>
      </c>
      <c r="L19" s="1"/>
      <c r="M19" s="1">
        <v>57</v>
      </c>
      <c r="N19" s="2" t="e">
        <v>#DIV/0!</v>
      </c>
      <c r="O19" s="1"/>
      <c r="P19" s="1">
        <v>2</v>
      </c>
      <c r="Q19" s="2" t="e">
        <v>#DIV/0!</v>
      </c>
      <c r="R19" s="1">
        <v>0</v>
      </c>
      <c r="S19" s="1">
        <v>0</v>
      </c>
      <c r="T19" s="2">
        <v>0</v>
      </c>
      <c r="U19" s="1"/>
      <c r="V19" s="1">
        <v>16</v>
      </c>
      <c r="W19" s="2" t="e">
        <v>#DIV/0!</v>
      </c>
      <c r="X19" s="1">
        <v>0</v>
      </c>
      <c r="Y19" s="1">
        <v>2</v>
      </c>
      <c r="Z19" s="2" t="e">
        <v>#DIV/0!</v>
      </c>
      <c r="AA19" s="2">
        <v>0</v>
      </c>
      <c r="AB19" s="2">
        <v>0</v>
      </c>
    </row>
    <row r="20" spans="1:28" x14ac:dyDescent="0.25">
      <c r="A20" s="5">
        <v>42369</v>
      </c>
      <c r="B20" t="s">
        <v>23</v>
      </c>
      <c r="C20" s="1"/>
      <c r="D20" s="1">
        <v>116</v>
      </c>
      <c r="E20" s="2" t="e">
        <v>#DIV/0!</v>
      </c>
      <c r="F20" s="1"/>
      <c r="G20" s="1">
        <v>114308423.86</v>
      </c>
      <c r="H20" s="2" t="e">
        <v>#DIV/0!</v>
      </c>
      <c r="I20" s="1"/>
      <c r="J20" s="1">
        <v>50</v>
      </c>
      <c r="K20" s="2" t="e">
        <v>#DIV/0!</v>
      </c>
      <c r="L20" s="1"/>
      <c r="M20" s="1">
        <v>45</v>
      </c>
      <c r="N20" s="2" t="e">
        <v>#DIV/0!</v>
      </c>
      <c r="O20" s="1"/>
      <c r="P20" s="1">
        <v>5</v>
      </c>
      <c r="Q20" s="2" t="e">
        <v>#DIV/0!</v>
      </c>
      <c r="R20" s="1">
        <v>0</v>
      </c>
      <c r="S20" s="1">
        <v>0</v>
      </c>
      <c r="T20" s="2">
        <v>0</v>
      </c>
      <c r="U20" s="1"/>
      <c r="V20" s="1">
        <v>16</v>
      </c>
      <c r="W20" s="2" t="e">
        <v>#DIV/0!</v>
      </c>
      <c r="X20" s="1">
        <v>0</v>
      </c>
      <c r="Y20" s="1">
        <v>5</v>
      </c>
      <c r="Z20" s="2" t="e">
        <v>#DIV/0!</v>
      </c>
      <c r="AA20" s="2">
        <v>0</v>
      </c>
      <c r="AB20" s="2">
        <v>0</v>
      </c>
    </row>
    <row r="21" spans="1:28" x14ac:dyDescent="0.25">
      <c r="A21" s="5">
        <v>42369</v>
      </c>
      <c r="B21" t="s">
        <v>37</v>
      </c>
      <c r="C21" s="1"/>
      <c r="D21" s="1">
        <v>985</v>
      </c>
      <c r="E21" s="2" t="e">
        <v>#DIV/0!</v>
      </c>
      <c r="F21" s="1"/>
      <c r="G21" s="1">
        <v>333231633.12</v>
      </c>
      <c r="H21" s="2" t="e">
        <v>#DIV/0!</v>
      </c>
      <c r="I21" s="1"/>
      <c r="J21" s="1">
        <v>798</v>
      </c>
      <c r="K21" s="2" t="e">
        <v>#DIV/0!</v>
      </c>
      <c r="L21" s="1"/>
      <c r="M21" s="1">
        <v>113</v>
      </c>
      <c r="N21" s="2" t="e">
        <v>#DIV/0!</v>
      </c>
      <c r="O21" s="1"/>
      <c r="P21" s="1">
        <v>7</v>
      </c>
      <c r="Q21" s="2" t="e">
        <v>#DIV/0!</v>
      </c>
      <c r="R21" s="1">
        <v>0</v>
      </c>
      <c r="S21" s="1">
        <v>0</v>
      </c>
      <c r="T21" s="2">
        <v>0</v>
      </c>
      <c r="U21" s="1"/>
      <c r="V21" s="1">
        <v>67</v>
      </c>
      <c r="W21" s="2" t="e">
        <v>#DIV/0!</v>
      </c>
      <c r="X21" s="1">
        <v>0</v>
      </c>
      <c r="Y21" s="1">
        <v>7</v>
      </c>
      <c r="Z21" s="2" t="e">
        <v>#DIV/0!</v>
      </c>
      <c r="AA21" s="2">
        <v>0</v>
      </c>
      <c r="AB21" s="2">
        <v>0</v>
      </c>
    </row>
    <row r="22" spans="1:28" x14ac:dyDescent="0.25">
      <c r="A22" s="5">
        <v>42369</v>
      </c>
      <c r="B22" t="s">
        <v>43</v>
      </c>
      <c r="C22" s="1"/>
      <c r="D22" s="1">
        <v>1573</v>
      </c>
      <c r="E22" s="2" t="e">
        <v>#DIV/0!</v>
      </c>
      <c r="F22" s="1"/>
      <c r="G22" s="1">
        <v>664649843.89999998</v>
      </c>
      <c r="H22" s="2" t="e">
        <v>#DIV/0!</v>
      </c>
      <c r="I22" s="1"/>
      <c r="J22" s="1">
        <v>1083</v>
      </c>
      <c r="K22" s="2" t="e">
        <v>#DIV/0!</v>
      </c>
      <c r="L22" s="1"/>
      <c r="M22" s="1">
        <v>322</v>
      </c>
      <c r="N22" s="2" t="e">
        <v>#DIV/0!</v>
      </c>
      <c r="O22" s="1"/>
      <c r="P22" s="1">
        <v>10</v>
      </c>
      <c r="Q22" s="2" t="e">
        <v>#DIV/0!</v>
      </c>
      <c r="R22" s="1">
        <v>0</v>
      </c>
      <c r="S22" s="1">
        <v>0</v>
      </c>
      <c r="T22" s="2">
        <v>0</v>
      </c>
      <c r="U22" s="1"/>
      <c r="V22" s="1">
        <v>158</v>
      </c>
      <c r="W22" s="2" t="e">
        <v>#DIV/0!</v>
      </c>
      <c r="X22" s="1">
        <v>0</v>
      </c>
      <c r="Y22" s="1">
        <v>10</v>
      </c>
      <c r="Z22" s="2" t="e">
        <v>#DIV/0!</v>
      </c>
      <c r="AA22" s="2">
        <v>0</v>
      </c>
      <c r="AB22" s="2">
        <v>0</v>
      </c>
    </row>
    <row r="23" spans="1:28" x14ac:dyDescent="0.25">
      <c r="A23" s="5">
        <v>42369</v>
      </c>
      <c r="B23" t="s">
        <v>32</v>
      </c>
      <c r="C23" s="1"/>
      <c r="D23" s="1">
        <v>1511</v>
      </c>
      <c r="E23" s="2" t="e">
        <v>#DIV/0!</v>
      </c>
      <c r="F23" s="1"/>
      <c r="G23" s="1">
        <v>661213452.92999995</v>
      </c>
      <c r="H23" s="2" t="e">
        <v>#DIV/0!</v>
      </c>
      <c r="I23" s="1"/>
      <c r="J23" s="1">
        <v>1063</v>
      </c>
      <c r="K23" s="2" t="e">
        <v>#DIV/0!</v>
      </c>
      <c r="L23" s="1"/>
      <c r="M23" s="1">
        <v>389</v>
      </c>
      <c r="N23" s="2" t="e">
        <v>#DIV/0!</v>
      </c>
      <c r="O23" s="1"/>
      <c r="P23" s="1">
        <v>20</v>
      </c>
      <c r="Q23" s="2" t="e">
        <v>#DIV/0!</v>
      </c>
      <c r="R23" s="1">
        <v>0</v>
      </c>
      <c r="S23" s="1">
        <v>0</v>
      </c>
      <c r="T23" s="2">
        <v>0</v>
      </c>
      <c r="U23" s="1"/>
      <c r="V23" s="1">
        <v>39</v>
      </c>
      <c r="W23" s="2" t="e">
        <v>#DIV/0!</v>
      </c>
      <c r="X23" s="1">
        <v>0</v>
      </c>
      <c r="Y23" s="1">
        <v>20</v>
      </c>
      <c r="Z23" s="2" t="e">
        <v>#DIV/0!</v>
      </c>
      <c r="AA23" s="2">
        <v>0</v>
      </c>
      <c r="AB23" s="2">
        <v>0</v>
      </c>
    </row>
    <row r="24" spans="1:28" x14ac:dyDescent="0.25">
      <c r="A24" s="5">
        <v>42369</v>
      </c>
      <c r="B24" t="s">
        <v>42</v>
      </c>
      <c r="C24" s="1"/>
      <c r="D24" s="1">
        <v>1668</v>
      </c>
      <c r="E24" s="2" t="e">
        <v>#DIV/0!</v>
      </c>
      <c r="F24" s="1"/>
      <c r="G24" s="1">
        <v>867052856.44000006</v>
      </c>
      <c r="H24" s="2" t="e">
        <v>#DIV/0!</v>
      </c>
      <c r="I24" s="1"/>
      <c r="J24" s="1">
        <v>1029</v>
      </c>
      <c r="K24" s="2" t="e">
        <v>#DIV/0!</v>
      </c>
      <c r="L24" s="1"/>
      <c r="M24" s="1">
        <v>464</v>
      </c>
      <c r="N24" s="2" t="e">
        <v>#DIV/0!</v>
      </c>
      <c r="O24" s="1"/>
      <c r="P24" s="1">
        <v>52</v>
      </c>
      <c r="Q24" s="2" t="e">
        <v>#DIV/0!</v>
      </c>
      <c r="R24" s="1">
        <v>0</v>
      </c>
      <c r="S24" s="1">
        <v>0</v>
      </c>
      <c r="T24" s="2">
        <v>0</v>
      </c>
      <c r="U24" s="1"/>
      <c r="V24" s="1">
        <v>123</v>
      </c>
      <c r="W24" s="2" t="e">
        <v>#DIV/0!</v>
      </c>
      <c r="X24" s="1">
        <v>0</v>
      </c>
      <c r="Y24" s="1">
        <v>52</v>
      </c>
      <c r="Z24" s="2" t="e">
        <v>#DIV/0!</v>
      </c>
      <c r="AA24" s="2">
        <v>0</v>
      </c>
      <c r="AB24" s="2">
        <v>0</v>
      </c>
    </row>
    <row r="25" spans="1:28" x14ac:dyDescent="0.25">
      <c r="A25" s="5">
        <v>42369</v>
      </c>
      <c r="B25" t="s">
        <v>33</v>
      </c>
      <c r="C25" s="1"/>
      <c r="D25" s="1">
        <v>486</v>
      </c>
      <c r="E25" s="2" t="e">
        <v>#DIV/0!</v>
      </c>
      <c r="F25" s="1"/>
      <c r="G25" s="1">
        <v>206754087.78</v>
      </c>
      <c r="H25" s="2" t="e">
        <v>#DIV/0!</v>
      </c>
      <c r="I25" s="1"/>
      <c r="J25" s="1">
        <v>347</v>
      </c>
      <c r="K25" s="2" t="e">
        <v>#DIV/0!</v>
      </c>
      <c r="L25" s="1"/>
      <c r="M25" s="1">
        <v>84</v>
      </c>
      <c r="N25" s="2" t="e">
        <v>#DIV/0!</v>
      </c>
      <c r="O25" s="1"/>
      <c r="P25" s="1">
        <v>17</v>
      </c>
      <c r="Q25" s="2" t="e">
        <v>#DIV/0!</v>
      </c>
      <c r="R25" s="1">
        <v>0</v>
      </c>
      <c r="S25" s="1">
        <v>0</v>
      </c>
      <c r="T25" s="2">
        <v>0</v>
      </c>
      <c r="U25" s="1"/>
      <c r="V25" s="1">
        <v>38</v>
      </c>
      <c r="W25" s="2" t="e">
        <v>#DIV/0!</v>
      </c>
      <c r="X25" s="1">
        <v>0</v>
      </c>
      <c r="Y25" s="1">
        <v>17</v>
      </c>
      <c r="Z25" s="2" t="e">
        <v>#DIV/0!</v>
      </c>
      <c r="AA25" s="2">
        <v>0</v>
      </c>
      <c r="AB25" s="2">
        <v>0</v>
      </c>
    </row>
    <row r="26" spans="1:28" x14ac:dyDescent="0.25">
      <c r="A26" s="5">
        <v>42369</v>
      </c>
      <c r="B26" t="s">
        <v>15</v>
      </c>
      <c r="C26" s="1"/>
      <c r="D26" s="1">
        <v>2030</v>
      </c>
      <c r="E26" s="2" t="e">
        <v>#DIV/0!</v>
      </c>
      <c r="F26" s="1"/>
      <c r="G26" s="1">
        <v>608510731.82000005</v>
      </c>
      <c r="H26" s="2" t="e">
        <v>#DIV/0!</v>
      </c>
      <c r="I26" s="1"/>
      <c r="J26" s="1">
        <v>1609</v>
      </c>
      <c r="K26" s="2" t="e">
        <v>#DIV/0!</v>
      </c>
      <c r="L26" s="1"/>
      <c r="M26" s="1">
        <v>124</v>
      </c>
      <c r="N26" s="2" t="e">
        <v>#DIV/0!</v>
      </c>
      <c r="O26" s="1"/>
      <c r="P26" s="1">
        <v>29</v>
      </c>
      <c r="Q26" s="2" t="e">
        <v>#DIV/0!</v>
      </c>
      <c r="R26" s="1">
        <v>0</v>
      </c>
      <c r="S26" s="1">
        <v>0</v>
      </c>
      <c r="T26" s="2">
        <v>0</v>
      </c>
      <c r="U26" s="1"/>
      <c r="V26" s="1">
        <v>268</v>
      </c>
      <c r="W26" s="2" t="e">
        <v>#DIV/0!</v>
      </c>
      <c r="X26" s="1">
        <v>0</v>
      </c>
      <c r="Y26" s="1">
        <v>29</v>
      </c>
      <c r="Z26" s="2" t="e">
        <v>#DIV/0!</v>
      </c>
      <c r="AA26" s="2">
        <v>0</v>
      </c>
      <c r="AB26" s="2">
        <v>0</v>
      </c>
    </row>
    <row r="27" spans="1:28" x14ac:dyDescent="0.25">
      <c r="A27" s="5">
        <v>42369</v>
      </c>
      <c r="B27" t="s">
        <v>18</v>
      </c>
      <c r="C27" s="1"/>
      <c r="D27" s="1">
        <v>605</v>
      </c>
      <c r="E27" s="2" t="e">
        <v>#DIV/0!</v>
      </c>
      <c r="F27" s="1"/>
      <c r="G27" s="1">
        <v>186732998.11000001</v>
      </c>
      <c r="H27" s="2" t="e">
        <v>#DIV/0!</v>
      </c>
      <c r="I27" s="1"/>
      <c r="J27" s="1">
        <v>353</v>
      </c>
      <c r="K27" s="2" t="e">
        <v>#DIV/0!</v>
      </c>
      <c r="L27" s="1"/>
      <c r="M27" s="1">
        <v>87</v>
      </c>
      <c r="N27" s="2" t="e">
        <v>#DIV/0!</v>
      </c>
      <c r="O27" s="1"/>
      <c r="P27" s="1">
        <v>14</v>
      </c>
      <c r="Q27" s="2" t="e">
        <v>#DIV/0!</v>
      </c>
      <c r="R27" s="1">
        <v>0</v>
      </c>
      <c r="S27" s="1">
        <v>0</v>
      </c>
      <c r="T27" s="2">
        <v>0</v>
      </c>
      <c r="U27" s="1"/>
      <c r="V27" s="1">
        <v>151</v>
      </c>
      <c r="W27" s="2" t="e">
        <v>#DIV/0!</v>
      </c>
      <c r="X27" s="1">
        <v>0</v>
      </c>
      <c r="Y27" s="1">
        <v>14</v>
      </c>
      <c r="Z27" s="2" t="e">
        <v>#DIV/0!</v>
      </c>
      <c r="AA27" s="2">
        <v>0</v>
      </c>
      <c r="AB27" s="2">
        <v>0</v>
      </c>
    </row>
    <row r="28" spans="1:28" x14ac:dyDescent="0.25">
      <c r="A28" s="5">
        <v>42369</v>
      </c>
      <c r="B28" t="s">
        <v>54</v>
      </c>
      <c r="C28" s="1"/>
      <c r="D28" s="1">
        <v>1000</v>
      </c>
      <c r="E28" s="2" t="e">
        <v>#DIV/0!</v>
      </c>
      <c r="F28" s="1"/>
      <c r="G28" s="1">
        <v>551489257.24000001</v>
      </c>
      <c r="H28" s="2" t="e">
        <v>#DIV/0!</v>
      </c>
      <c r="I28" s="1"/>
      <c r="J28" s="1">
        <v>674</v>
      </c>
      <c r="K28" s="2" t="e">
        <v>#DIV/0!</v>
      </c>
      <c r="L28" s="1"/>
      <c r="M28" s="1">
        <v>204</v>
      </c>
      <c r="N28" s="2" t="e">
        <v>#DIV/0!</v>
      </c>
      <c r="O28" s="1"/>
      <c r="P28" s="1">
        <v>28</v>
      </c>
      <c r="Q28" s="2" t="e">
        <v>#DIV/0!</v>
      </c>
      <c r="R28" s="1">
        <v>0</v>
      </c>
      <c r="S28" s="1">
        <v>0</v>
      </c>
      <c r="T28" s="2">
        <v>0</v>
      </c>
      <c r="U28" s="1"/>
      <c r="V28" s="1">
        <v>94</v>
      </c>
      <c r="W28" s="2" t="e">
        <v>#DIV/0!</v>
      </c>
      <c r="X28" s="1">
        <v>0</v>
      </c>
      <c r="Y28" s="1">
        <v>28</v>
      </c>
      <c r="Z28" s="2" t="e">
        <v>#DIV/0!</v>
      </c>
      <c r="AA28" s="2">
        <v>0</v>
      </c>
      <c r="AB28" s="2">
        <v>0</v>
      </c>
    </row>
    <row r="29" spans="1:28" x14ac:dyDescent="0.25">
      <c r="A29" s="5">
        <v>42369</v>
      </c>
      <c r="B29" t="s">
        <v>44</v>
      </c>
      <c r="C29" s="1"/>
      <c r="D29" s="1">
        <v>5144</v>
      </c>
      <c r="E29" s="2" t="e">
        <v>#DIV/0!</v>
      </c>
      <c r="F29" s="1"/>
      <c r="G29" s="1">
        <v>1741142896.6900001</v>
      </c>
      <c r="H29" s="2" t="e">
        <v>#DIV/0!</v>
      </c>
      <c r="I29" s="1"/>
      <c r="J29" s="1">
        <v>3406</v>
      </c>
      <c r="K29" s="2" t="e">
        <v>#DIV/0!</v>
      </c>
      <c r="L29" s="1"/>
      <c r="M29" s="1">
        <v>514</v>
      </c>
      <c r="N29" s="2" t="e">
        <v>#DIV/0!</v>
      </c>
      <c r="O29" s="1"/>
      <c r="P29" s="1">
        <v>32</v>
      </c>
      <c r="Q29" s="2" t="e">
        <v>#DIV/0!</v>
      </c>
      <c r="R29" s="1">
        <v>0</v>
      </c>
      <c r="S29" s="1">
        <v>0</v>
      </c>
      <c r="T29" s="2">
        <v>0</v>
      </c>
      <c r="U29" s="1"/>
      <c r="V29" s="1">
        <v>1192</v>
      </c>
      <c r="W29" s="2" t="e">
        <v>#DIV/0!</v>
      </c>
      <c r="X29" s="1">
        <v>0</v>
      </c>
      <c r="Y29" s="1">
        <v>32</v>
      </c>
      <c r="Z29" s="2" t="e">
        <v>#DIV/0!</v>
      </c>
      <c r="AA29" s="2">
        <v>0</v>
      </c>
      <c r="AB29" s="2">
        <v>0</v>
      </c>
    </row>
    <row r="30" spans="1:28" x14ac:dyDescent="0.25">
      <c r="A30" s="5">
        <v>42369</v>
      </c>
      <c r="B30" t="s">
        <v>52</v>
      </c>
      <c r="C30" s="1"/>
      <c r="D30" s="1">
        <v>526</v>
      </c>
      <c r="E30" s="2" t="e">
        <v>#DIV/0!</v>
      </c>
      <c r="F30" s="1"/>
      <c r="G30" s="1">
        <v>292378482.64999998</v>
      </c>
      <c r="H30" s="2" t="e">
        <v>#DIV/0!</v>
      </c>
      <c r="I30" s="1"/>
      <c r="J30" s="1">
        <v>359</v>
      </c>
      <c r="K30" s="2" t="e">
        <v>#DIV/0!</v>
      </c>
      <c r="L30" s="1"/>
      <c r="M30" s="1">
        <v>121</v>
      </c>
      <c r="N30" s="2" t="e">
        <v>#DIV/0!</v>
      </c>
      <c r="O30" s="1"/>
      <c r="P30" s="1">
        <v>21</v>
      </c>
      <c r="Q30" s="2" t="e">
        <v>#DIV/0!</v>
      </c>
      <c r="R30" s="1">
        <v>0</v>
      </c>
      <c r="S30" s="1">
        <v>0</v>
      </c>
      <c r="T30" s="2">
        <v>0</v>
      </c>
      <c r="U30" s="1"/>
      <c r="V30" s="1">
        <v>25</v>
      </c>
      <c r="W30" s="2" t="e">
        <v>#DIV/0!</v>
      </c>
      <c r="X30" s="1">
        <v>0</v>
      </c>
      <c r="Y30" s="1">
        <v>21</v>
      </c>
      <c r="Z30" s="2" t="e">
        <v>#DIV/0!</v>
      </c>
      <c r="AA30" s="2">
        <v>0</v>
      </c>
      <c r="AB30" s="2">
        <v>0</v>
      </c>
    </row>
    <row r="31" spans="1:28" x14ac:dyDescent="0.25">
      <c r="A31" s="5">
        <v>42369</v>
      </c>
      <c r="B31" t="s">
        <v>8</v>
      </c>
      <c r="C31" s="1"/>
      <c r="D31" s="1">
        <v>250</v>
      </c>
      <c r="E31" s="2" t="e">
        <v>#DIV/0!</v>
      </c>
      <c r="F31" s="1"/>
      <c r="G31" s="1">
        <v>106507274.5</v>
      </c>
      <c r="H31" s="2" t="e">
        <v>#DIV/0!</v>
      </c>
      <c r="I31" s="1"/>
      <c r="J31" s="1">
        <v>142</v>
      </c>
      <c r="K31" s="2" t="e">
        <v>#DIV/0!</v>
      </c>
      <c r="L31" s="1"/>
      <c r="M31" s="1">
        <v>91</v>
      </c>
      <c r="N31" s="2" t="e">
        <v>#DIV/0!</v>
      </c>
      <c r="O31" s="1"/>
      <c r="P31" s="1">
        <v>6</v>
      </c>
      <c r="Q31" s="2" t="e">
        <v>#DIV/0!</v>
      </c>
      <c r="R31" s="1">
        <v>0</v>
      </c>
      <c r="S31" s="1">
        <v>0</v>
      </c>
      <c r="T31" s="2">
        <v>0</v>
      </c>
      <c r="U31" s="1"/>
      <c r="V31" s="1">
        <v>11</v>
      </c>
      <c r="W31" s="2" t="e">
        <v>#DIV/0!</v>
      </c>
      <c r="X31" s="1">
        <v>0</v>
      </c>
      <c r="Y31" s="1">
        <v>6</v>
      </c>
      <c r="Z31" s="2" t="e">
        <v>#DIV/0!</v>
      </c>
      <c r="AA31" s="2">
        <v>0</v>
      </c>
      <c r="AB31" s="2">
        <v>0</v>
      </c>
    </row>
    <row r="32" spans="1:28" x14ac:dyDescent="0.25">
      <c r="A32" s="5">
        <v>42369</v>
      </c>
      <c r="B32" t="s">
        <v>45</v>
      </c>
      <c r="C32" s="1"/>
      <c r="D32" s="1">
        <v>1730</v>
      </c>
      <c r="E32" s="2" t="e">
        <v>#DIV/0!</v>
      </c>
      <c r="F32" s="1"/>
      <c r="G32" s="1">
        <v>692088766.24000001</v>
      </c>
      <c r="H32" s="2" t="e">
        <v>#DIV/0!</v>
      </c>
      <c r="I32" s="1"/>
      <c r="J32" s="1">
        <v>1338</v>
      </c>
      <c r="K32" s="2" t="e">
        <v>#DIV/0!</v>
      </c>
      <c r="L32" s="1"/>
      <c r="M32" s="1">
        <v>271</v>
      </c>
      <c r="N32" s="2" t="e">
        <v>#DIV/0!</v>
      </c>
      <c r="O32" s="1"/>
      <c r="P32" s="1">
        <v>20</v>
      </c>
      <c r="Q32" s="2" t="e">
        <v>#DIV/0!</v>
      </c>
      <c r="R32" s="1">
        <v>0</v>
      </c>
      <c r="S32" s="1">
        <v>0</v>
      </c>
      <c r="T32" s="2">
        <v>0</v>
      </c>
      <c r="U32" s="1"/>
      <c r="V32" s="1">
        <v>101</v>
      </c>
      <c r="W32" s="2" t="e">
        <v>#DIV/0!</v>
      </c>
      <c r="X32" s="1">
        <v>0</v>
      </c>
      <c r="Y32" s="1">
        <v>20</v>
      </c>
      <c r="Z32" s="2" t="e">
        <v>#DIV/0!</v>
      </c>
      <c r="AA32" s="2">
        <v>0</v>
      </c>
      <c r="AB32" s="2">
        <v>0</v>
      </c>
    </row>
    <row r="33" spans="1:28" x14ac:dyDescent="0.25">
      <c r="A33" s="5">
        <v>42369</v>
      </c>
      <c r="B33" t="s">
        <v>12</v>
      </c>
      <c r="C33" s="1"/>
      <c r="D33" s="1">
        <v>763</v>
      </c>
      <c r="E33" s="2" t="e">
        <v>#DIV/0!</v>
      </c>
      <c r="F33" s="1"/>
      <c r="G33" s="1">
        <v>283543926.83999997</v>
      </c>
      <c r="H33" s="2" t="e">
        <v>#DIV/0!</v>
      </c>
      <c r="I33" s="1"/>
      <c r="J33" s="1">
        <v>512</v>
      </c>
      <c r="K33" s="2" t="e">
        <v>#DIV/0!</v>
      </c>
      <c r="L33" s="1"/>
      <c r="M33" s="1">
        <v>142</v>
      </c>
      <c r="N33" s="2" t="e">
        <v>#DIV/0!</v>
      </c>
      <c r="O33" s="1"/>
      <c r="P33" s="1">
        <v>8</v>
      </c>
      <c r="Q33" s="2" t="e">
        <v>#DIV/0!</v>
      </c>
      <c r="R33" s="1">
        <v>0</v>
      </c>
      <c r="S33" s="1">
        <v>0</v>
      </c>
      <c r="T33" s="2">
        <v>0</v>
      </c>
      <c r="U33" s="1"/>
      <c r="V33" s="1">
        <v>101</v>
      </c>
      <c r="W33" s="2" t="e">
        <v>#DIV/0!</v>
      </c>
      <c r="X33" s="1">
        <v>0</v>
      </c>
      <c r="Y33" s="1">
        <v>8</v>
      </c>
      <c r="Z33" s="2" t="e">
        <v>#DIV/0!</v>
      </c>
      <c r="AA33" s="2">
        <v>0</v>
      </c>
      <c r="AB33" s="2">
        <v>0</v>
      </c>
    </row>
    <row r="34" spans="1:28" x14ac:dyDescent="0.25">
      <c r="A34" s="5">
        <v>42369</v>
      </c>
      <c r="B34" t="s">
        <v>22</v>
      </c>
      <c r="C34" s="1"/>
      <c r="D34" s="1">
        <v>171</v>
      </c>
      <c r="E34" s="2" t="e">
        <v>#DIV/0!</v>
      </c>
      <c r="F34" s="1"/>
      <c r="G34" s="1">
        <v>71897589.680000007</v>
      </c>
      <c r="H34" s="2" t="e">
        <v>#DIV/0!</v>
      </c>
      <c r="I34" s="1"/>
      <c r="J34" s="1">
        <v>148</v>
      </c>
      <c r="K34" s="2" t="e">
        <v>#DIV/0!</v>
      </c>
      <c r="L34" s="1"/>
      <c r="M34" s="1">
        <v>18</v>
      </c>
      <c r="N34" s="2" t="e">
        <v>#DIV/0!</v>
      </c>
      <c r="O34" s="1"/>
      <c r="P34" s="1">
        <v>4</v>
      </c>
      <c r="Q34" s="2" t="e">
        <v>#DIV/0!</v>
      </c>
      <c r="R34" s="1">
        <v>0</v>
      </c>
      <c r="S34" s="1">
        <v>0</v>
      </c>
      <c r="T34" s="2">
        <v>0</v>
      </c>
      <c r="U34" s="1"/>
      <c r="V34" s="1">
        <v>1</v>
      </c>
      <c r="W34" s="2" t="e">
        <v>#DIV/0!</v>
      </c>
      <c r="X34" s="1">
        <v>0</v>
      </c>
      <c r="Y34" s="1">
        <v>4</v>
      </c>
      <c r="Z34" s="2" t="e">
        <v>#DIV/0!</v>
      </c>
      <c r="AA34" s="2">
        <v>0</v>
      </c>
      <c r="AB34" s="2">
        <v>0</v>
      </c>
    </row>
    <row r="35" spans="1:28" x14ac:dyDescent="0.25">
      <c r="A35" s="5">
        <v>42369</v>
      </c>
      <c r="B35" t="s">
        <v>7</v>
      </c>
      <c r="C35" s="1"/>
      <c r="D35" s="1">
        <v>2800</v>
      </c>
      <c r="E35" s="2" t="e">
        <v>#DIV/0!</v>
      </c>
      <c r="F35" s="1"/>
      <c r="G35" s="1">
        <v>1437906269.8800001</v>
      </c>
      <c r="H35" s="2" t="e">
        <v>#DIV/0!</v>
      </c>
      <c r="I35" s="1"/>
      <c r="J35" s="1">
        <v>1870</v>
      </c>
      <c r="K35" s="2" t="e">
        <v>#DIV/0!</v>
      </c>
      <c r="L35" s="1"/>
      <c r="M35" s="1">
        <v>654</v>
      </c>
      <c r="N35" s="2" t="e">
        <v>#DIV/0!</v>
      </c>
      <c r="O35" s="1"/>
      <c r="P35" s="1">
        <v>55</v>
      </c>
      <c r="Q35" s="2" t="e">
        <v>#DIV/0!</v>
      </c>
      <c r="R35" s="1">
        <v>0</v>
      </c>
      <c r="S35" s="1">
        <v>0</v>
      </c>
      <c r="T35" s="2">
        <v>0</v>
      </c>
      <c r="U35" s="1"/>
      <c r="V35" s="1">
        <v>221</v>
      </c>
      <c r="W35" s="2" t="e">
        <v>#DIV/0!</v>
      </c>
      <c r="X35" s="1">
        <v>0</v>
      </c>
      <c r="Y35" s="1">
        <v>55</v>
      </c>
      <c r="Z35" s="2" t="e">
        <v>#DIV/0!</v>
      </c>
      <c r="AA35" s="2">
        <v>0</v>
      </c>
      <c r="AB35" s="2">
        <v>0</v>
      </c>
    </row>
    <row r="36" spans="1:28" x14ac:dyDescent="0.25">
      <c r="A36" s="5">
        <v>42369</v>
      </c>
      <c r="B36" t="s">
        <v>11</v>
      </c>
      <c r="C36" s="1"/>
      <c r="D36" s="1">
        <v>850</v>
      </c>
      <c r="E36" s="2" t="e">
        <v>#DIV/0!</v>
      </c>
      <c r="F36" s="1"/>
      <c r="G36" s="1">
        <v>425527041.88</v>
      </c>
      <c r="H36" s="2" t="e">
        <v>#DIV/0!</v>
      </c>
      <c r="I36" s="1"/>
      <c r="J36" s="1">
        <v>605</v>
      </c>
      <c r="K36" s="2" t="e">
        <v>#DIV/0!</v>
      </c>
      <c r="L36" s="1"/>
      <c r="M36" s="1">
        <v>164</v>
      </c>
      <c r="N36" s="2" t="e">
        <v>#DIV/0!</v>
      </c>
      <c r="O36" s="1"/>
      <c r="P36" s="1">
        <v>39</v>
      </c>
      <c r="Q36" s="2" t="e">
        <v>#DIV/0!</v>
      </c>
      <c r="R36" s="1">
        <v>0</v>
      </c>
      <c r="S36" s="1">
        <v>0</v>
      </c>
      <c r="T36" s="2">
        <v>0</v>
      </c>
      <c r="U36" s="1"/>
      <c r="V36" s="1">
        <v>42</v>
      </c>
      <c r="W36" s="2" t="e">
        <v>#DIV/0!</v>
      </c>
      <c r="X36" s="1">
        <v>0</v>
      </c>
      <c r="Y36" s="1">
        <v>39</v>
      </c>
      <c r="Z36" s="2" t="e">
        <v>#DIV/0!</v>
      </c>
      <c r="AA36" s="2">
        <v>0</v>
      </c>
      <c r="AB36" s="2">
        <v>0</v>
      </c>
    </row>
    <row r="37" spans="1:28" x14ac:dyDescent="0.25">
      <c r="A37" s="5">
        <v>42369</v>
      </c>
      <c r="B37" t="s">
        <v>50</v>
      </c>
      <c r="C37" s="1"/>
      <c r="D37" s="1">
        <v>199</v>
      </c>
      <c r="E37" s="2" t="e">
        <v>#DIV/0!</v>
      </c>
      <c r="F37" s="1"/>
      <c r="G37" s="1">
        <v>82896378.340000004</v>
      </c>
      <c r="H37" s="2" t="e">
        <v>#DIV/0!</v>
      </c>
      <c r="I37" s="1"/>
      <c r="J37" s="1">
        <v>95</v>
      </c>
      <c r="K37" s="2" t="e">
        <v>#DIV/0!</v>
      </c>
      <c r="L37" s="1"/>
      <c r="M37" s="1">
        <v>55</v>
      </c>
      <c r="N37" s="2" t="e">
        <v>#DIV/0!</v>
      </c>
      <c r="O37" s="1"/>
      <c r="P37" s="1">
        <v>3</v>
      </c>
      <c r="Q37" s="2" t="e">
        <v>#DIV/0!</v>
      </c>
      <c r="R37" s="1">
        <v>0</v>
      </c>
      <c r="S37" s="1">
        <v>0</v>
      </c>
      <c r="T37" s="2">
        <v>0</v>
      </c>
      <c r="U37" s="1"/>
      <c r="V37" s="1">
        <v>46</v>
      </c>
      <c r="W37" s="2" t="e">
        <v>#DIV/0!</v>
      </c>
      <c r="X37" s="1">
        <v>0</v>
      </c>
      <c r="Y37" s="1">
        <v>3</v>
      </c>
      <c r="Z37" s="2" t="e">
        <v>#DIV/0!</v>
      </c>
      <c r="AA37" s="2">
        <v>0</v>
      </c>
      <c r="AB37" s="2">
        <v>0</v>
      </c>
    </row>
    <row r="38" spans="1:28" x14ac:dyDescent="0.25">
      <c r="A38" s="5">
        <v>42369</v>
      </c>
      <c r="B38" t="s">
        <v>20</v>
      </c>
      <c r="C38" s="1"/>
      <c r="D38" s="1">
        <v>361</v>
      </c>
      <c r="E38" s="2" t="e">
        <v>#DIV/0!</v>
      </c>
      <c r="F38" s="1"/>
      <c r="G38" s="1">
        <v>116546375.67</v>
      </c>
      <c r="H38" s="2" t="e">
        <v>#DIV/0!</v>
      </c>
      <c r="I38" s="1"/>
      <c r="J38" s="1">
        <v>214</v>
      </c>
      <c r="K38" s="2" t="e">
        <v>#DIV/0!</v>
      </c>
      <c r="L38" s="1"/>
      <c r="M38" s="1">
        <v>41</v>
      </c>
      <c r="N38" s="2" t="e">
        <v>#DIV/0!</v>
      </c>
      <c r="O38" s="1"/>
      <c r="P38" s="1">
        <v>16</v>
      </c>
      <c r="Q38" s="2" t="e">
        <v>#DIV/0!</v>
      </c>
      <c r="R38" s="1">
        <v>0</v>
      </c>
      <c r="S38" s="1">
        <v>0</v>
      </c>
      <c r="T38" s="2">
        <v>0</v>
      </c>
      <c r="U38" s="1"/>
      <c r="V38" s="1">
        <v>90</v>
      </c>
      <c r="W38" s="2" t="e">
        <v>#DIV/0!</v>
      </c>
      <c r="X38" s="1">
        <v>0</v>
      </c>
      <c r="Y38" s="1">
        <v>16</v>
      </c>
      <c r="Z38" s="2" t="e">
        <v>#DIV/0!</v>
      </c>
      <c r="AA38" s="2">
        <v>0</v>
      </c>
      <c r="AB38" s="2">
        <v>0</v>
      </c>
    </row>
    <row r="39" spans="1:28" x14ac:dyDescent="0.25">
      <c r="A39" s="5">
        <v>42369</v>
      </c>
      <c r="B39" t="s">
        <v>21</v>
      </c>
      <c r="C39" s="1"/>
      <c r="D39" s="1">
        <v>552</v>
      </c>
      <c r="E39" s="2" t="e">
        <v>#DIV/0!</v>
      </c>
      <c r="F39" s="1"/>
      <c r="G39" s="1">
        <v>172190217.09</v>
      </c>
      <c r="H39" s="2" t="e">
        <v>#DIV/0!</v>
      </c>
      <c r="I39" s="1"/>
      <c r="J39" s="1">
        <v>340</v>
      </c>
      <c r="K39" s="2" t="e">
        <v>#DIV/0!</v>
      </c>
      <c r="L39" s="1"/>
      <c r="M39" s="1">
        <v>84</v>
      </c>
      <c r="N39" s="2" t="e">
        <v>#DIV/0!</v>
      </c>
      <c r="O39" s="1"/>
      <c r="P39" s="1">
        <v>14</v>
      </c>
      <c r="Q39" s="2" t="e">
        <v>#DIV/0!</v>
      </c>
      <c r="R39" s="1">
        <v>0</v>
      </c>
      <c r="S39" s="1">
        <v>0</v>
      </c>
      <c r="T39" s="2">
        <v>0</v>
      </c>
      <c r="U39" s="1"/>
      <c r="V39" s="1">
        <v>114</v>
      </c>
      <c r="W39" s="2" t="e">
        <v>#DIV/0!</v>
      </c>
      <c r="X39" s="1">
        <v>0</v>
      </c>
      <c r="Y39" s="1">
        <v>14</v>
      </c>
      <c r="Z39" s="2" t="e">
        <v>#DIV/0!</v>
      </c>
      <c r="AA39" s="2">
        <v>0</v>
      </c>
      <c r="AB39" s="2">
        <v>0</v>
      </c>
    </row>
    <row r="40" spans="1:28" x14ac:dyDescent="0.25">
      <c r="A40" s="5">
        <v>42369</v>
      </c>
      <c r="B40" t="s">
        <v>25</v>
      </c>
      <c r="C40" s="1"/>
      <c r="D40" s="1">
        <v>14194</v>
      </c>
      <c r="E40" s="2" t="e">
        <v>#DIV/0!</v>
      </c>
      <c r="F40" s="1"/>
      <c r="G40" s="1">
        <v>8852080698.4799995</v>
      </c>
      <c r="H40" s="2" t="e">
        <v>#DIV/0!</v>
      </c>
      <c r="I40" s="1"/>
      <c r="J40" s="1">
        <v>9086</v>
      </c>
      <c r="K40" s="2" t="e">
        <v>#DIV/0!</v>
      </c>
      <c r="L40" s="1"/>
      <c r="M40" s="1">
        <v>4319</v>
      </c>
      <c r="N40" s="2" t="e">
        <v>#DIV/0!</v>
      </c>
      <c r="O40" s="1"/>
      <c r="P40" s="1">
        <v>469</v>
      </c>
      <c r="Q40" s="2" t="e">
        <v>#DIV/0!</v>
      </c>
      <c r="R40" s="1">
        <v>0</v>
      </c>
      <c r="S40" s="1">
        <v>0</v>
      </c>
      <c r="T40" s="2">
        <v>0</v>
      </c>
      <c r="U40" s="1"/>
      <c r="V40" s="1">
        <v>320</v>
      </c>
      <c r="W40" s="2" t="e">
        <v>#DIV/0!</v>
      </c>
      <c r="X40" s="1">
        <v>0</v>
      </c>
      <c r="Y40" s="1">
        <v>469</v>
      </c>
      <c r="Z40" s="2" t="e">
        <v>#DIV/0!</v>
      </c>
      <c r="AA40" s="2">
        <v>0</v>
      </c>
      <c r="AB40" s="2">
        <v>0</v>
      </c>
    </row>
    <row r="41" spans="1:28" x14ac:dyDescent="0.25">
      <c r="A41" s="5">
        <v>42369</v>
      </c>
      <c r="B41" t="s">
        <v>35</v>
      </c>
      <c r="C41" s="1"/>
      <c r="D41" s="1">
        <v>217</v>
      </c>
      <c r="E41" s="2" t="e">
        <v>#DIV/0!</v>
      </c>
      <c r="F41" s="1"/>
      <c r="G41" s="1">
        <v>190581359.44</v>
      </c>
      <c r="H41" s="2" t="e">
        <v>#DIV/0!</v>
      </c>
      <c r="I41" s="1"/>
      <c r="J41" s="1">
        <v>90</v>
      </c>
      <c r="K41" s="2" t="e">
        <v>#DIV/0!</v>
      </c>
      <c r="L41" s="1"/>
      <c r="M41" s="1">
        <v>101</v>
      </c>
      <c r="N41" s="2" t="e">
        <v>#DIV/0!</v>
      </c>
      <c r="O41" s="1"/>
      <c r="P41" s="1">
        <v>13</v>
      </c>
      <c r="Q41" s="2" t="e">
        <v>#DIV/0!</v>
      </c>
      <c r="R41" s="1">
        <v>0</v>
      </c>
      <c r="S41" s="1">
        <v>0</v>
      </c>
      <c r="T41" s="2">
        <v>0</v>
      </c>
      <c r="U41" s="1"/>
      <c r="V41" s="1">
        <v>13</v>
      </c>
      <c r="W41" s="2" t="e">
        <v>#DIV/0!</v>
      </c>
      <c r="X41" s="1">
        <v>0</v>
      </c>
      <c r="Y41" s="1">
        <v>13</v>
      </c>
      <c r="Z41" s="2" t="e">
        <v>#DIV/0!</v>
      </c>
      <c r="AA41" s="2">
        <v>0</v>
      </c>
      <c r="AB41" s="2">
        <v>0</v>
      </c>
    </row>
    <row r="42" spans="1:28" x14ac:dyDescent="0.25">
      <c r="A42" s="5">
        <v>42369</v>
      </c>
      <c r="B42" t="s">
        <v>14</v>
      </c>
      <c r="C42" s="1"/>
      <c r="D42" s="1">
        <v>2392</v>
      </c>
      <c r="E42" s="2" t="e">
        <v>#DIV/0!</v>
      </c>
      <c r="F42" s="1"/>
      <c r="G42" s="1">
        <v>856936070.39999998</v>
      </c>
      <c r="H42" s="2" t="e">
        <v>#DIV/0!</v>
      </c>
      <c r="I42" s="1"/>
      <c r="J42" s="1">
        <v>1601</v>
      </c>
      <c r="K42" s="2" t="e">
        <v>#DIV/0!</v>
      </c>
      <c r="L42" s="1"/>
      <c r="M42" s="1">
        <v>293</v>
      </c>
      <c r="N42" s="2" t="e">
        <v>#DIV/0!</v>
      </c>
      <c r="O42" s="1"/>
      <c r="P42" s="1">
        <v>18</v>
      </c>
      <c r="Q42" s="2" t="e">
        <v>#DIV/0!</v>
      </c>
      <c r="R42" s="1">
        <v>0</v>
      </c>
      <c r="S42" s="1">
        <v>0</v>
      </c>
      <c r="T42" s="2">
        <v>0</v>
      </c>
      <c r="U42" s="1"/>
      <c r="V42" s="1">
        <v>480</v>
      </c>
      <c r="W42" s="2" t="e">
        <v>#DIV/0!</v>
      </c>
      <c r="X42" s="1">
        <v>0</v>
      </c>
      <c r="Y42" s="1">
        <v>18</v>
      </c>
      <c r="Z42" s="2" t="e">
        <v>#DIV/0!</v>
      </c>
      <c r="AA42" s="2">
        <v>0</v>
      </c>
      <c r="AB42" s="2">
        <v>0</v>
      </c>
    </row>
    <row r="43" spans="1:28" x14ac:dyDescent="0.25">
      <c r="A43" s="5">
        <v>42369</v>
      </c>
      <c r="B43" t="s">
        <v>10</v>
      </c>
      <c r="C43" s="1"/>
      <c r="D43" s="1">
        <v>637</v>
      </c>
      <c r="E43" s="2" t="e">
        <v>#DIV/0!</v>
      </c>
      <c r="F43" s="1"/>
      <c r="G43" s="1">
        <v>344671463.56999999</v>
      </c>
      <c r="H43" s="2" t="e">
        <v>#DIV/0!</v>
      </c>
      <c r="I43" s="1"/>
      <c r="J43" s="1">
        <v>389</v>
      </c>
      <c r="K43" s="2" t="e">
        <v>#DIV/0!</v>
      </c>
      <c r="L43" s="1"/>
      <c r="M43" s="1">
        <v>144</v>
      </c>
      <c r="N43" s="2" t="e">
        <v>#DIV/0!</v>
      </c>
      <c r="O43" s="1"/>
      <c r="P43" s="1">
        <v>19</v>
      </c>
      <c r="Q43" s="2" t="e">
        <v>#DIV/0!</v>
      </c>
      <c r="R43" s="1">
        <v>0</v>
      </c>
      <c r="S43" s="1">
        <v>0</v>
      </c>
      <c r="T43" s="2">
        <v>0</v>
      </c>
      <c r="U43" s="1"/>
      <c r="V43" s="1">
        <v>85</v>
      </c>
      <c r="W43" s="2" t="e">
        <v>#DIV/0!</v>
      </c>
      <c r="X43" s="1">
        <v>0</v>
      </c>
      <c r="Y43" s="1">
        <v>19</v>
      </c>
      <c r="Z43" s="2" t="e">
        <v>#DIV/0!</v>
      </c>
      <c r="AA43" s="2">
        <v>0</v>
      </c>
      <c r="AB43" s="2">
        <v>0</v>
      </c>
    </row>
    <row r="44" spans="1:28" x14ac:dyDescent="0.25">
      <c r="A44" s="5">
        <v>42369</v>
      </c>
      <c r="B44" t="s">
        <v>60</v>
      </c>
      <c r="C44" s="1"/>
      <c r="D44" s="1">
        <v>484</v>
      </c>
      <c r="E44" s="2" t="e">
        <v>#DIV/0!</v>
      </c>
      <c r="F44" s="1"/>
      <c r="G44" s="1">
        <v>198516063.83000001</v>
      </c>
      <c r="H44" s="2" t="e">
        <v>#DIV/0!</v>
      </c>
      <c r="I44" s="1"/>
      <c r="J44" s="1">
        <v>377</v>
      </c>
      <c r="K44" s="2" t="e">
        <v>#DIV/0!</v>
      </c>
      <c r="L44" s="1"/>
      <c r="M44" s="1">
        <v>60</v>
      </c>
      <c r="N44" s="2" t="e">
        <v>#DIV/0!</v>
      </c>
      <c r="O44" s="1"/>
      <c r="P44" s="1">
        <v>17</v>
      </c>
      <c r="Q44" s="2" t="e">
        <v>#DIV/0!</v>
      </c>
      <c r="R44" s="1">
        <v>0</v>
      </c>
      <c r="S44" s="1">
        <v>0</v>
      </c>
      <c r="T44" s="2">
        <v>0</v>
      </c>
      <c r="U44" s="1"/>
      <c r="V44" s="1">
        <v>30</v>
      </c>
      <c r="W44" s="2" t="e">
        <v>#DIV/0!</v>
      </c>
      <c r="X44" s="1">
        <v>0</v>
      </c>
      <c r="Y44" s="1">
        <v>17</v>
      </c>
      <c r="Z44" s="2" t="e">
        <v>#DIV/0!</v>
      </c>
      <c r="AA44" s="2">
        <v>0</v>
      </c>
      <c r="AB44" s="2">
        <v>0</v>
      </c>
    </row>
    <row r="45" spans="1:28" x14ac:dyDescent="0.25">
      <c r="A45" s="5">
        <v>42369</v>
      </c>
      <c r="B45" t="s">
        <v>46</v>
      </c>
      <c r="C45" s="1"/>
      <c r="D45" s="1">
        <v>279</v>
      </c>
      <c r="E45" s="2" t="e">
        <v>#DIV/0!</v>
      </c>
      <c r="F45" s="1"/>
      <c r="G45" s="1">
        <v>107580310.03</v>
      </c>
      <c r="H45" s="2" t="e">
        <v>#DIV/0!</v>
      </c>
      <c r="I45" s="1"/>
      <c r="J45" s="1">
        <v>199</v>
      </c>
      <c r="K45" s="2" t="e">
        <v>#DIV/0!</v>
      </c>
      <c r="L45" s="1"/>
      <c r="M45" s="1">
        <v>54</v>
      </c>
      <c r="N45" s="2" t="e">
        <v>#DIV/0!</v>
      </c>
      <c r="O45" s="1"/>
      <c r="P45" s="1">
        <v>6</v>
      </c>
      <c r="Q45" s="2" t="e">
        <v>#DIV/0!</v>
      </c>
      <c r="R45" s="1">
        <v>0</v>
      </c>
      <c r="S45" s="1">
        <v>0</v>
      </c>
      <c r="T45" s="2">
        <v>0</v>
      </c>
      <c r="U45" s="1"/>
      <c r="V45" s="1">
        <v>20</v>
      </c>
      <c r="W45" s="2" t="e">
        <v>#DIV/0!</v>
      </c>
      <c r="X45" s="1">
        <v>0</v>
      </c>
      <c r="Y45" s="1">
        <v>6</v>
      </c>
      <c r="Z45" s="2" t="e">
        <v>#DIV/0!</v>
      </c>
      <c r="AA45" s="2">
        <v>0</v>
      </c>
      <c r="AB45" s="2">
        <v>0</v>
      </c>
    </row>
    <row r="46" spans="1:28" x14ac:dyDescent="0.25">
      <c r="A46" s="5">
        <v>42369</v>
      </c>
      <c r="B46" t="s">
        <v>29</v>
      </c>
      <c r="C46" s="1"/>
      <c r="D46" s="1">
        <v>625</v>
      </c>
      <c r="E46" s="2" t="e">
        <v>#DIV/0!</v>
      </c>
      <c r="F46" s="1"/>
      <c r="G46" s="1">
        <v>250268800.80000001</v>
      </c>
      <c r="H46" s="2" t="e">
        <v>#DIV/0!</v>
      </c>
      <c r="I46" s="1"/>
      <c r="J46" s="1">
        <v>555</v>
      </c>
      <c r="K46" s="2" t="e">
        <v>#DIV/0!</v>
      </c>
      <c r="L46" s="1"/>
      <c r="M46" s="1">
        <v>46</v>
      </c>
      <c r="N46" s="2" t="e">
        <v>#DIV/0!</v>
      </c>
      <c r="O46" s="1"/>
      <c r="P46" s="1">
        <v>6</v>
      </c>
      <c r="Q46" s="2" t="e">
        <v>#DIV/0!</v>
      </c>
      <c r="R46" s="1">
        <v>0</v>
      </c>
      <c r="S46" s="1">
        <v>0</v>
      </c>
      <c r="T46" s="2">
        <v>0</v>
      </c>
      <c r="U46" s="1"/>
      <c r="V46" s="1">
        <v>18</v>
      </c>
      <c r="W46" s="2" t="e">
        <v>#DIV/0!</v>
      </c>
      <c r="X46" s="1">
        <v>0</v>
      </c>
      <c r="Y46" s="1">
        <v>6</v>
      </c>
      <c r="Z46" s="2" t="e">
        <v>#DIV/0!</v>
      </c>
      <c r="AA46" s="2">
        <v>0</v>
      </c>
      <c r="AB46" s="2">
        <v>0</v>
      </c>
    </row>
    <row r="47" spans="1:28" x14ac:dyDescent="0.25">
      <c r="A47" s="5">
        <v>42369</v>
      </c>
      <c r="B47" t="s">
        <v>41</v>
      </c>
      <c r="C47" s="1"/>
      <c r="D47" s="1">
        <v>712</v>
      </c>
      <c r="E47" s="2" t="e">
        <v>#DIV/0!</v>
      </c>
      <c r="F47" s="1"/>
      <c r="G47" s="1">
        <v>247194319.37</v>
      </c>
      <c r="H47" s="2" t="e">
        <v>#DIV/0!</v>
      </c>
      <c r="I47" s="1"/>
      <c r="J47" s="1">
        <v>607</v>
      </c>
      <c r="K47" s="2" t="e">
        <v>#DIV/0!</v>
      </c>
      <c r="L47" s="1"/>
      <c r="M47" s="1">
        <v>85</v>
      </c>
      <c r="N47" s="2" t="e">
        <v>#DIV/0!</v>
      </c>
      <c r="O47" s="1"/>
      <c r="P47" s="1">
        <v>2</v>
      </c>
      <c r="Q47" s="2" t="e">
        <v>#DIV/0!</v>
      </c>
      <c r="R47" s="1">
        <v>0</v>
      </c>
      <c r="S47" s="1">
        <v>0</v>
      </c>
      <c r="T47" s="2">
        <v>0</v>
      </c>
      <c r="U47" s="1"/>
      <c r="V47" s="1">
        <v>18</v>
      </c>
      <c r="W47" s="2" t="e">
        <v>#DIV/0!</v>
      </c>
      <c r="X47" s="1">
        <v>0</v>
      </c>
      <c r="Y47" s="1">
        <v>2</v>
      </c>
      <c r="Z47" s="2" t="e">
        <v>#DIV/0!</v>
      </c>
      <c r="AA47" s="2">
        <v>0</v>
      </c>
      <c r="AB47" s="2">
        <v>0</v>
      </c>
    </row>
    <row r="48" spans="1:28" x14ac:dyDescent="0.25">
      <c r="A48" s="5">
        <v>42369</v>
      </c>
      <c r="B48" t="s">
        <v>19</v>
      </c>
      <c r="C48" s="1"/>
      <c r="D48" s="1">
        <v>1506</v>
      </c>
      <c r="E48" s="2" t="e">
        <v>#DIV/0!</v>
      </c>
      <c r="F48" s="1"/>
      <c r="G48" s="1">
        <v>616549414.96000004</v>
      </c>
      <c r="H48" s="2" t="e">
        <v>#DIV/0!</v>
      </c>
      <c r="I48" s="1"/>
      <c r="J48" s="1">
        <v>1184</v>
      </c>
      <c r="K48" s="2" t="e">
        <v>#DIV/0!</v>
      </c>
      <c r="L48" s="1"/>
      <c r="M48" s="1">
        <v>202</v>
      </c>
      <c r="N48" s="2" t="e">
        <v>#DIV/0!</v>
      </c>
      <c r="O48" s="1"/>
      <c r="P48" s="1">
        <v>20</v>
      </c>
      <c r="Q48" s="2" t="e">
        <v>#DIV/0!</v>
      </c>
      <c r="R48" s="1">
        <v>0</v>
      </c>
      <c r="S48" s="1">
        <v>0</v>
      </c>
      <c r="T48" s="2">
        <v>0</v>
      </c>
      <c r="U48" s="1"/>
      <c r="V48" s="1">
        <v>100</v>
      </c>
      <c r="W48" s="2" t="e">
        <v>#DIV/0!</v>
      </c>
      <c r="X48" s="1">
        <v>0</v>
      </c>
      <c r="Y48" s="1">
        <v>20</v>
      </c>
      <c r="Z48" s="2" t="e">
        <v>#DIV/0!</v>
      </c>
      <c r="AA48" s="2">
        <v>0</v>
      </c>
      <c r="AB48" s="2">
        <v>0</v>
      </c>
    </row>
    <row r="49" spans="1:28" x14ac:dyDescent="0.25">
      <c r="A49" s="5">
        <v>42369</v>
      </c>
      <c r="B49" t="s">
        <v>34</v>
      </c>
      <c r="C49" s="1"/>
      <c r="D49" s="1">
        <v>224</v>
      </c>
      <c r="E49" s="2" t="e">
        <v>#DIV/0!</v>
      </c>
      <c r="F49" s="1"/>
      <c r="G49" s="1">
        <v>114409951.27</v>
      </c>
      <c r="H49" s="2" t="e">
        <v>#DIV/0!</v>
      </c>
      <c r="I49" s="1"/>
      <c r="J49" s="1">
        <v>127</v>
      </c>
      <c r="K49" s="2" t="e">
        <v>#DIV/0!</v>
      </c>
      <c r="L49" s="1"/>
      <c r="M49" s="1">
        <v>79</v>
      </c>
      <c r="N49" s="2" t="e">
        <v>#DIV/0!</v>
      </c>
      <c r="O49" s="1"/>
      <c r="P49" s="1">
        <v>11</v>
      </c>
      <c r="Q49" s="2" t="e">
        <v>#DIV/0!</v>
      </c>
      <c r="R49" s="1">
        <v>0</v>
      </c>
      <c r="S49" s="1">
        <v>0</v>
      </c>
      <c r="T49" s="2">
        <v>0</v>
      </c>
      <c r="U49" s="1"/>
      <c r="V49" s="1">
        <v>7</v>
      </c>
      <c r="W49" s="2" t="e">
        <v>#DIV/0!</v>
      </c>
      <c r="X49" s="1">
        <v>0</v>
      </c>
      <c r="Y49" s="1">
        <v>11</v>
      </c>
      <c r="Z49" s="2" t="e">
        <v>#DIV/0!</v>
      </c>
      <c r="AA49" s="2">
        <v>0</v>
      </c>
      <c r="AB49" s="2">
        <v>0</v>
      </c>
    </row>
    <row r="50" spans="1:28" x14ac:dyDescent="0.25">
      <c r="A50" s="5">
        <v>42369</v>
      </c>
      <c r="B50" t="s">
        <v>61</v>
      </c>
      <c r="C50" s="1"/>
      <c r="D50" s="1">
        <v>208</v>
      </c>
      <c r="E50" s="2" t="e">
        <v>#DIV/0!</v>
      </c>
      <c r="F50" s="1"/>
      <c r="G50" s="1">
        <v>90427439.609999999</v>
      </c>
      <c r="H50" s="2" t="e">
        <v>#DIV/0!</v>
      </c>
      <c r="I50" s="1"/>
      <c r="J50" s="1">
        <v>144</v>
      </c>
      <c r="K50" s="2" t="e">
        <v>#DIV/0!</v>
      </c>
      <c r="L50" s="1"/>
      <c r="M50" s="1">
        <v>37</v>
      </c>
      <c r="N50" s="2" t="e">
        <v>#DIV/0!</v>
      </c>
      <c r="O50" s="1"/>
      <c r="P50" s="1">
        <v>6</v>
      </c>
      <c r="Q50" s="2" t="e">
        <v>#DIV/0!</v>
      </c>
      <c r="R50" s="1">
        <v>0</v>
      </c>
      <c r="S50" s="1">
        <v>0</v>
      </c>
      <c r="T50" s="2">
        <v>0</v>
      </c>
      <c r="U50" s="1"/>
      <c r="V50" s="1">
        <v>21</v>
      </c>
      <c r="W50" s="2" t="e">
        <v>#DIV/0!</v>
      </c>
      <c r="X50" s="1">
        <v>0</v>
      </c>
      <c r="Y50" s="1">
        <v>6</v>
      </c>
      <c r="Z50" s="2" t="e">
        <v>#DIV/0!</v>
      </c>
      <c r="AA50" s="2">
        <v>0</v>
      </c>
      <c r="AB50" s="2">
        <v>0</v>
      </c>
    </row>
    <row r="51" spans="1:28" x14ac:dyDescent="0.25">
      <c r="A51" s="5">
        <v>42369</v>
      </c>
      <c r="B51" t="s">
        <v>31</v>
      </c>
      <c r="C51" s="1"/>
      <c r="D51" s="1">
        <v>1075</v>
      </c>
      <c r="E51" s="2" t="e">
        <v>#DIV/0!</v>
      </c>
      <c r="F51" s="1"/>
      <c r="G51" s="1">
        <v>529897638.69</v>
      </c>
      <c r="H51" s="2" t="e">
        <v>#DIV/0!</v>
      </c>
      <c r="I51" s="1"/>
      <c r="J51" s="1">
        <v>814</v>
      </c>
      <c r="K51" s="2" t="e">
        <v>#DIV/0!</v>
      </c>
      <c r="L51" s="1"/>
      <c r="M51" s="1">
        <v>194</v>
      </c>
      <c r="N51" s="2" t="e">
        <v>#DIV/0!</v>
      </c>
      <c r="O51" s="1"/>
      <c r="P51" s="1">
        <v>9</v>
      </c>
      <c r="Q51" s="2" t="e">
        <v>#DIV/0!</v>
      </c>
      <c r="R51" s="1">
        <v>0</v>
      </c>
      <c r="S51" s="1">
        <v>0</v>
      </c>
      <c r="T51" s="2">
        <v>0</v>
      </c>
      <c r="U51" s="1"/>
      <c r="V51" s="1">
        <v>58</v>
      </c>
      <c r="W51" s="2" t="e">
        <v>#DIV/0!</v>
      </c>
      <c r="X51" s="1">
        <v>0</v>
      </c>
      <c r="Y51" s="1">
        <v>9</v>
      </c>
      <c r="Z51" s="2" t="e">
        <v>#DIV/0!</v>
      </c>
      <c r="AA51" s="2">
        <v>0</v>
      </c>
      <c r="AB51" s="2">
        <v>0</v>
      </c>
    </row>
    <row r="52" spans="1:28" x14ac:dyDescent="0.25">
      <c r="A52" s="5">
        <v>42369</v>
      </c>
      <c r="B52" t="s">
        <v>28</v>
      </c>
      <c r="C52" s="1"/>
      <c r="D52" s="1">
        <v>552</v>
      </c>
      <c r="E52" s="2" t="e">
        <v>#DIV/0!</v>
      </c>
      <c r="F52" s="1"/>
      <c r="G52" s="1">
        <v>249002826.33000001</v>
      </c>
      <c r="H52" s="2" t="e">
        <v>#DIV/0!</v>
      </c>
      <c r="I52" s="1"/>
      <c r="J52" s="1">
        <v>422</v>
      </c>
      <c r="K52" s="2" t="e">
        <v>#DIV/0!</v>
      </c>
      <c r="L52" s="1"/>
      <c r="M52" s="1">
        <v>96</v>
      </c>
      <c r="N52" s="2" t="e">
        <v>#DIV/0!</v>
      </c>
      <c r="O52" s="1"/>
      <c r="P52" s="1">
        <v>3</v>
      </c>
      <c r="Q52" s="2" t="e">
        <v>#DIV/0!</v>
      </c>
      <c r="R52" s="1">
        <v>0</v>
      </c>
      <c r="S52" s="1">
        <v>0</v>
      </c>
      <c r="T52" s="2">
        <v>0</v>
      </c>
      <c r="U52" s="1"/>
      <c r="V52" s="1">
        <v>31</v>
      </c>
      <c r="W52" s="2" t="e">
        <v>#DIV/0!</v>
      </c>
      <c r="X52" s="1">
        <v>0</v>
      </c>
      <c r="Y52" s="1">
        <v>3</v>
      </c>
      <c r="Z52" s="2" t="e">
        <v>#DIV/0!</v>
      </c>
      <c r="AA52" s="2">
        <v>0</v>
      </c>
      <c r="AB52" s="2">
        <v>0</v>
      </c>
    </row>
    <row r="53" spans="1:28" x14ac:dyDescent="0.25">
      <c r="A53" s="5">
        <v>42369</v>
      </c>
      <c r="B53" t="s">
        <v>26</v>
      </c>
      <c r="C53" s="1"/>
      <c r="D53" s="1">
        <v>1639</v>
      </c>
      <c r="E53" s="2" t="e">
        <v>#DIV/0!</v>
      </c>
      <c r="F53" s="1"/>
      <c r="G53" s="1">
        <v>568689192.63999999</v>
      </c>
      <c r="H53" s="2" t="e">
        <v>#DIV/0!</v>
      </c>
      <c r="I53" s="1"/>
      <c r="J53" s="1">
        <v>1001</v>
      </c>
      <c r="K53" s="2" t="e">
        <v>#DIV/0!</v>
      </c>
      <c r="L53" s="1"/>
      <c r="M53" s="1">
        <v>253</v>
      </c>
      <c r="N53" s="2" t="e">
        <v>#DIV/0!</v>
      </c>
      <c r="O53" s="1"/>
      <c r="P53" s="1">
        <v>15</v>
      </c>
      <c r="Q53" s="2" t="e">
        <v>#DIV/0!</v>
      </c>
      <c r="R53" s="1">
        <v>0</v>
      </c>
      <c r="S53" s="1">
        <v>0</v>
      </c>
      <c r="T53" s="2">
        <v>0</v>
      </c>
      <c r="U53" s="1"/>
      <c r="V53" s="1">
        <v>370</v>
      </c>
      <c r="W53" s="2" t="e">
        <v>#DIV/0!</v>
      </c>
      <c r="X53" s="1">
        <v>0</v>
      </c>
      <c r="Y53" s="1">
        <v>15</v>
      </c>
      <c r="Z53" s="2" t="e">
        <v>#DIV/0!</v>
      </c>
      <c r="AA53" s="2">
        <v>0</v>
      </c>
      <c r="AB53" s="2">
        <v>0</v>
      </c>
    </row>
    <row r="54" spans="1:28" x14ac:dyDescent="0.25">
      <c r="A54" s="5">
        <v>42369</v>
      </c>
      <c r="B54" t="s">
        <v>55</v>
      </c>
      <c r="C54" s="1"/>
      <c r="D54" s="1">
        <v>5172</v>
      </c>
      <c r="E54" s="2" t="e">
        <v>#DIV/0!</v>
      </c>
      <c r="F54" s="1"/>
      <c r="G54" s="1">
        <v>2656233049.5300002</v>
      </c>
      <c r="H54" s="2" t="e">
        <v>#DIV/0!</v>
      </c>
      <c r="I54" s="1"/>
      <c r="J54" s="1">
        <v>3916</v>
      </c>
      <c r="K54" s="2" t="e">
        <v>#DIV/0!</v>
      </c>
      <c r="L54" s="1"/>
      <c r="M54" s="1">
        <v>933</v>
      </c>
      <c r="N54" s="2" t="e">
        <v>#DIV/0!</v>
      </c>
      <c r="O54" s="1"/>
      <c r="P54" s="1">
        <v>142</v>
      </c>
      <c r="Q54" s="2" t="e">
        <v>#DIV/0!</v>
      </c>
      <c r="R54" s="1">
        <v>0</v>
      </c>
      <c r="S54" s="1">
        <v>0</v>
      </c>
      <c r="T54" s="2">
        <v>0</v>
      </c>
      <c r="U54" s="1"/>
      <c r="V54" s="1">
        <v>181</v>
      </c>
      <c r="W54" s="2" t="e">
        <v>#DIV/0!</v>
      </c>
      <c r="X54" s="1">
        <v>0</v>
      </c>
      <c r="Y54" s="1">
        <v>142</v>
      </c>
      <c r="Z54" s="2" t="e">
        <v>#DIV/0!</v>
      </c>
      <c r="AA54" s="2">
        <v>0</v>
      </c>
      <c r="AB54" s="2">
        <v>0</v>
      </c>
    </row>
    <row r="55" spans="1:28" x14ac:dyDescent="0.25">
      <c r="A55" s="5">
        <v>42369</v>
      </c>
      <c r="B55" t="s">
        <v>38</v>
      </c>
      <c r="C55" s="1"/>
      <c r="D55" s="1">
        <v>208</v>
      </c>
      <c r="E55" s="2" t="e">
        <v>#DIV/0!</v>
      </c>
      <c r="F55" s="1"/>
      <c r="G55" s="1">
        <v>77867951.079999998</v>
      </c>
      <c r="H55" s="2" t="e">
        <v>#DIV/0!</v>
      </c>
      <c r="I55" s="1"/>
      <c r="J55" s="1">
        <v>174</v>
      </c>
      <c r="K55" s="2" t="e">
        <v>#DIV/0!</v>
      </c>
      <c r="L55" s="1"/>
      <c r="M55" s="1">
        <v>23</v>
      </c>
      <c r="N55" s="2" t="e">
        <v>#DIV/0!</v>
      </c>
      <c r="O55" s="1"/>
      <c r="P55" s="1">
        <v>4</v>
      </c>
      <c r="Q55" s="2" t="e">
        <v>#DIV/0!</v>
      </c>
      <c r="R55" s="1">
        <v>0</v>
      </c>
      <c r="S55" s="1">
        <v>0</v>
      </c>
      <c r="T55" s="2">
        <v>0</v>
      </c>
      <c r="U55" s="1"/>
      <c r="V55" s="1">
        <v>7</v>
      </c>
      <c r="W55" s="2" t="e">
        <v>#DIV/0!</v>
      </c>
      <c r="X55" s="1">
        <v>0</v>
      </c>
      <c r="Y55" s="1">
        <v>4</v>
      </c>
      <c r="Z55" s="2" t="e">
        <v>#DIV/0!</v>
      </c>
      <c r="AA55" s="2">
        <v>0</v>
      </c>
      <c r="AB55" s="2">
        <v>0</v>
      </c>
    </row>
    <row r="56" spans="1:28" x14ac:dyDescent="0.25">
      <c r="A56" s="5">
        <v>42369</v>
      </c>
      <c r="B56" t="s">
        <v>48</v>
      </c>
      <c r="C56" s="1"/>
      <c r="D56" s="1">
        <v>713</v>
      </c>
      <c r="E56" s="2" t="e">
        <v>#DIV/0!</v>
      </c>
      <c r="F56" s="1"/>
      <c r="G56" s="1">
        <v>305069887.19999999</v>
      </c>
      <c r="H56" s="2" t="e">
        <v>#DIV/0!</v>
      </c>
      <c r="I56" s="1"/>
      <c r="J56" s="1">
        <v>577</v>
      </c>
      <c r="K56" s="2" t="e">
        <v>#DIV/0!</v>
      </c>
      <c r="L56" s="1"/>
      <c r="M56" s="1">
        <v>59</v>
      </c>
      <c r="N56" s="2" t="e">
        <v>#DIV/0!</v>
      </c>
      <c r="O56" s="1"/>
      <c r="P56" s="1">
        <v>10</v>
      </c>
      <c r="Q56" s="2" t="e">
        <v>#DIV/0!</v>
      </c>
      <c r="R56" s="1">
        <v>0</v>
      </c>
      <c r="S56" s="1">
        <v>0</v>
      </c>
      <c r="T56" s="2">
        <v>0</v>
      </c>
      <c r="U56" s="1"/>
      <c r="V56" s="1">
        <v>67</v>
      </c>
      <c r="W56" s="2" t="e">
        <v>#DIV/0!</v>
      </c>
      <c r="X56" s="1">
        <v>0</v>
      </c>
      <c r="Y56" s="1">
        <v>10</v>
      </c>
      <c r="Z56" s="2" t="e">
        <v>#DIV/0!</v>
      </c>
      <c r="AA56" s="2">
        <v>0</v>
      </c>
      <c r="AB56" s="2">
        <v>0</v>
      </c>
    </row>
    <row r="57" spans="1:28" x14ac:dyDescent="0.25">
      <c r="A57" s="5">
        <v>42369</v>
      </c>
      <c r="B57" t="s">
        <v>9</v>
      </c>
      <c r="C57" s="1"/>
      <c r="D57" s="1">
        <v>500</v>
      </c>
      <c r="E57" s="2" t="e">
        <v>#DIV/0!</v>
      </c>
      <c r="F57" s="1"/>
      <c r="G57" s="1">
        <v>190773695.02000001</v>
      </c>
      <c r="H57" s="2" t="e">
        <v>#DIV/0!</v>
      </c>
      <c r="I57" s="1"/>
      <c r="J57" s="1">
        <v>335</v>
      </c>
      <c r="K57" s="2" t="e">
        <v>#DIV/0!</v>
      </c>
      <c r="L57" s="1"/>
      <c r="M57" s="1">
        <v>111</v>
      </c>
      <c r="N57" s="2" t="e">
        <v>#DIV/0!</v>
      </c>
      <c r="O57" s="1"/>
      <c r="P57" s="1">
        <v>9</v>
      </c>
      <c r="Q57" s="2" t="e">
        <v>#DIV/0!</v>
      </c>
      <c r="R57" s="1">
        <v>0</v>
      </c>
      <c r="S57" s="1">
        <v>0</v>
      </c>
      <c r="T57" s="2">
        <v>0</v>
      </c>
      <c r="U57" s="1"/>
      <c r="V57" s="1">
        <v>45</v>
      </c>
      <c r="W57" s="2" t="e">
        <v>#DIV/0!</v>
      </c>
      <c r="X57" s="1">
        <v>0</v>
      </c>
      <c r="Y57" s="1">
        <v>9</v>
      </c>
      <c r="Z57" s="2" t="e">
        <v>#DIV/0!</v>
      </c>
      <c r="AA57" s="2">
        <v>0</v>
      </c>
      <c r="AB57" s="2">
        <v>0</v>
      </c>
    </row>
    <row r="58" spans="1:28" x14ac:dyDescent="0.25">
      <c r="A58" s="5">
        <v>42369</v>
      </c>
      <c r="B58" t="s">
        <v>13</v>
      </c>
      <c r="C58" s="1"/>
      <c r="D58" s="1">
        <v>1644</v>
      </c>
      <c r="E58" s="2" t="e">
        <v>#DIV/0!</v>
      </c>
      <c r="F58" s="1"/>
      <c r="G58" s="1">
        <v>715144303.00999999</v>
      </c>
      <c r="H58" s="2" t="e">
        <v>#DIV/0!</v>
      </c>
      <c r="I58" s="1"/>
      <c r="J58" s="1">
        <v>1262</v>
      </c>
      <c r="K58" s="2" t="e">
        <v>#DIV/0!</v>
      </c>
      <c r="L58" s="1"/>
      <c r="M58" s="1">
        <v>270</v>
      </c>
      <c r="N58" s="2" t="e">
        <v>#DIV/0!</v>
      </c>
      <c r="O58" s="1"/>
      <c r="P58" s="1">
        <v>19</v>
      </c>
      <c r="Q58" s="2" t="e">
        <v>#DIV/0!</v>
      </c>
      <c r="R58" s="1">
        <v>0</v>
      </c>
      <c r="S58" s="1">
        <v>0</v>
      </c>
      <c r="T58" s="2">
        <v>0</v>
      </c>
      <c r="U58" s="1"/>
      <c r="V58" s="1">
        <v>93</v>
      </c>
      <c r="W58" s="2" t="e">
        <v>#DIV/0!</v>
      </c>
      <c r="X58" s="1">
        <v>0</v>
      </c>
      <c r="Y58" s="1">
        <v>19</v>
      </c>
      <c r="Z58" s="2" t="e">
        <v>#DIV/0!</v>
      </c>
      <c r="AA58" s="2">
        <v>0</v>
      </c>
      <c r="AB58" s="2">
        <v>0</v>
      </c>
    </row>
    <row r="59" spans="1:28" x14ac:dyDescent="0.25">
      <c r="A59" s="5">
        <v>42369</v>
      </c>
      <c r="B59" t="s">
        <v>17</v>
      </c>
      <c r="C59" s="1"/>
      <c r="D59" s="1">
        <v>986</v>
      </c>
      <c r="E59" s="2" t="e">
        <v>#DIV/0!</v>
      </c>
      <c r="F59" s="1"/>
      <c r="G59" s="1">
        <v>585307823.76999998</v>
      </c>
      <c r="H59" s="2" t="e">
        <v>#DIV/0!</v>
      </c>
      <c r="I59" s="1"/>
      <c r="J59" s="1">
        <v>727</v>
      </c>
      <c r="K59" s="2" t="e">
        <v>#DIV/0!</v>
      </c>
      <c r="L59" s="1"/>
      <c r="M59" s="1">
        <v>166</v>
      </c>
      <c r="N59" s="2" t="e">
        <v>#DIV/0!</v>
      </c>
      <c r="O59" s="1"/>
      <c r="P59" s="1">
        <v>12</v>
      </c>
      <c r="Q59" s="2" t="e">
        <v>#DIV/0!</v>
      </c>
      <c r="R59" s="1">
        <v>0</v>
      </c>
      <c r="S59" s="1">
        <v>0</v>
      </c>
      <c r="T59" s="2">
        <v>0</v>
      </c>
      <c r="U59" s="1"/>
      <c r="V59" s="1">
        <v>81</v>
      </c>
      <c r="W59" s="2" t="e">
        <v>#DIV/0!</v>
      </c>
      <c r="X59" s="1">
        <v>0</v>
      </c>
      <c r="Y59" s="1">
        <v>12</v>
      </c>
      <c r="Z59" s="2" t="e">
        <v>#DIV/0!</v>
      </c>
      <c r="AA59" s="2">
        <v>0</v>
      </c>
      <c r="AB59" s="2">
        <v>0</v>
      </c>
    </row>
    <row r="60" spans="1:28" x14ac:dyDescent="0.25">
      <c r="A60" s="5">
        <v>42369</v>
      </c>
      <c r="B60" t="s">
        <v>6</v>
      </c>
      <c r="C60" s="1"/>
      <c r="D60" s="1">
        <v>403</v>
      </c>
      <c r="E60" s="2" t="e">
        <v>#DIV/0!</v>
      </c>
      <c r="F60" s="1"/>
      <c r="G60" s="1">
        <v>212897469.99000001</v>
      </c>
      <c r="H60" s="2" t="e">
        <v>#DIV/0!</v>
      </c>
      <c r="I60" s="1"/>
      <c r="J60" s="1">
        <v>243</v>
      </c>
      <c r="K60" s="2" t="e">
        <v>#DIV/0!</v>
      </c>
      <c r="L60" s="1"/>
      <c r="M60" s="1">
        <v>128</v>
      </c>
      <c r="N60" s="2" t="e">
        <v>#DIV/0!</v>
      </c>
      <c r="O60" s="1"/>
      <c r="P60" s="1">
        <v>12</v>
      </c>
      <c r="Q60" s="2" t="e">
        <v>#DIV/0!</v>
      </c>
      <c r="R60" s="1">
        <v>0</v>
      </c>
      <c r="S60" s="1">
        <v>0</v>
      </c>
      <c r="T60" s="2">
        <v>0</v>
      </c>
      <c r="U60" s="1"/>
      <c r="V60" s="1">
        <v>20</v>
      </c>
      <c r="W60" s="2" t="e">
        <v>#DIV/0!</v>
      </c>
      <c r="X60" s="1">
        <v>0</v>
      </c>
      <c r="Y60" s="1">
        <v>12</v>
      </c>
      <c r="Z60" s="2" t="e">
        <v>#DIV/0!</v>
      </c>
      <c r="AA60" s="2">
        <v>0</v>
      </c>
      <c r="AB60" s="2">
        <v>0</v>
      </c>
    </row>
    <row r="61" spans="1:28" x14ac:dyDescent="0.25">
      <c r="A61" s="5">
        <v>42369</v>
      </c>
      <c r="B61" t="s">
        <v>40</v>
      </c>
      <c r="C61" s="1"/>
      <c r="D61" s="1">
        <v>490</v>
      </c>
      <c r="E61" s="2" t="e">
        <v>#DIV/0!</v>
      </c>
      <c r="F61" s="1"/>
      <c r="G61" s="1">
        <v>158587436.22</v>
      </c>
      <c r="H61" s="2" t="e">
        <v>#DIV/0!</v>
      </c>
      <c r="I61" s="1"/>
      <c r="J61" s="1">
        <v>360</v>
      </c>
      <c r="K61" s="2" t="e">
        <v>#DIV/0!</v>
      </c>
      <c r="L61" s="1"/>
      <c r="M61" s="1">
        <v>80</v>
      </c>
      <c r="N61" s="2" t="e">
        <v>#DIV/0!</v>
      </c>
      <c r="O61" s="1"/>
      <c r="P61" s="1">
        <v>5</v>
      </c>
      <c r="Q61" s="2" t="e">
        <v>#DIV/0!</v>
      </c>
      <c r="R61" s="1">
        <v>0</v>
      </c>
      <c r="S61" s="1">
        <v>0</v>
      </c>
      <c r="T61" s="2">
        <v>0</v>
      </c>
      <c r="U61" s="1"/>
      <c r="V61" s="1">
        <v>45</v>
      </c>
      <c r="W61" s="2" t="e">
        <v>#DIV/0!</v>
      </c>
      <c r="X61" s="1">
        <v>0</v>
      </c>
      <c r="Y61" s="1">
        <v>5</v>
      </c>
      <c r="Z61" s="2" t="e">
        <v>#DIV/0!</v>
      </c>
      <c r="AA61" s="2">
        <v>0</v>
      </c>
      <c r="AB61" s="2">
        <v>0</v>
      </c>
    </row>
    <row r="62" spans="1:28" x14ac:dyDescent="0.25">
      <c r="A62" s="5">
        <v>42369</v>
      </c>
      <c r="B62" t="s">
        <v>5</v>
      </c>
      <c r="C62" s="1"/>
      <c r="D62" s="1">
        <v>375</v>
      </c>
      <c r="E62" s="2" t="e">
        <v>#DIV/0!</v>
      </c>
      <c r="F62" s="1"/>
      <c r="G62" s="1">
        <v>171093055.63999999</v>
      </c>
      <c r="H62" s="2" t="e">
        <v>#DIV/0!</v>
      </c>
      <c r="I62" s="1"/>
      <c r="J62" s="1">
        <v>276</v>
      </c>
      <c r="K62" s="2" t="e">
        <v>#DIV/0!</v>
      </c>
      <c r="L62" s="1"/>
      <c r="M62" s="1">
        <v>73</v>
      </c>
      <c r="N62" s="2" t="e">
        <v>#DIV/0!</v>
      </c>
      <c r="O62" s="1"/>
      <c r="P62" s="1">
        <v>11</v>
      </c>
      <c r="Q62" s="2" t="e">
        <v>#DIV/0!</v>
      </c>
      <c r="R62" s="1">
        <v>0</v>
      </c>
      <c r="S62" s="1">
        <v>0</v>
      </c>
      <c r="T62" s="2">
        <v>0</v>
      </c>
      <c r="U62" s="1"/>
      <c r="V62" s="1">
        <v>15</v>
      </c>
      <c r="W62" s="2" t="e">
        <v>#DIV/0!</v>
      </c>
      <c r="X62" s="1">
        <v>0</v>
      </c>
      <c r="Y62" s="1">
        <v>11</v>
      </c>
      <c r="Z62" s="2" t="e">
        <v>#DIV/0!</v>
      </c>
      <c r="AA62" s="2">
        <v>0</v>
      </c>
      <c r="AB62" s="2">
        <v>0</v>
      </c>
    </row>
    <row r="63" spans="1:28" x14ac:dyDescent="0.25">
      <c r="A63" s="5">
        <v>42369</v>
      </c>
      <c r="B63" t="s">
        <v>57</v>
      </c>
      <c r="C63" s="1"/>
      <c r="D63" s="1">
        <v>1975</v>
      </c>
      <c r="E63" s="2" t="e">
        <v>#DIV/0!</v>
      </c>
      <c r="F63" s="1"/>
      <c r="G63" s="1">
        <v>534698801.12</v>
      </c>
      <c r="H63" s="2" t="e">
        <v>#DIV/0!</v>
      </c>
      <c r="I63" s="1"/>
      <c r="J63" s="1">
        <v>1557</v>
      </c>
      <c r="K63" s="2" t="e">
        <v>#DIV/0!</v>
      </c>
      <c r="L63" s="1"/>
      <c r="M63" s="1">
        <v>104</v>
      </c>
      <c r="N63" s="2" t="e">
        <v>#DIV/0!</v>
      </c>
      <c r="O63" s="1"/>
      <c r="P63" s="1">
        <v>10</v>
      </c>
      <c r="Q63" s="2" t="e">
        <v>#DIV/0!</v>
      </c>
      <c r="R63" s="1">
        <v>0</v>
      </c>
      <c r="S63" s="1">
        <v>0</v>
      </c>
      <c r="T63" s="2">
        <v>0</v>
      </c>
      <c r="U63" s="1"/>
      <c r="V63" s="1">
        <v>304</v>
      </c>
      <c r="W63" s="2" t="e">
        <v>#DIV/0!</v>
      </c>
      <c r="X63" s="1">
        <v>0</v>
      </c>
      <c r="Y63" s="1">
        <v>10</v>
      </c>
      <c r="Z63" s="2" t="e">
        <v>#DIV/0!</v>
      </c>
      <c r="AA63" s="2">
        <v>0</v>
      </c>
      <c r="AB63" s="2">
        <v>0</v>
      </c>
    </row>
    <row r="64" spans="1:28" x14ac:dyDescent="0.25">
      <c r="A64" s="5">
        <v>42369</v>
      </c>
      <c r="B64" t="s">
        <v>16</v>
      </c>
      <c r="C64" s="1"/>
      <c r="D64" s="1">
        <v>587</v>
      </c>
      <c r="E64" s="2" t="e">
        <v>#DIV/0!</v>
      </c>
      <c r="F64" s="1"/>
      <c r="G64" s="1">
        <v>211460002.91</v>
      </c>
      <c r="H64" s="2" t="e">
        <v>#DIV/0!</v>
      </c>
      <c r="I64" s="1"/>
      <c r="J64" s="1">
        <v>434</v>
      </c>
      <c r="K64" s="2" t="e">
        <v>#DIV/0!</v>
      </c>
      <c r="L64" s="1"/>
      <c r="M64" s="1">
        <v>57</v>
      </c>
      <c r="N64" s="2" t="e">
        <v>#DIV/0!</v>
      </c>
      <c r="O64" s="1"/>
      <c r="P64" s="1">
        <v>9</v>
      </c>
      <c r="Q64" s="2" t="e">
        <v>#DIV/0!</v>
      </c>
      <c r="R64" s="1">
        <v>0</v>
      </c>
      <c r="S64" s="1">
        <v>0</v>
      </c>
      <c r="T64" s="2">
        <v>0</v>
      </c>
      <c r="U64" s="1"/>
      <c r="V64" s="1">
        <v>87</v>
      </c>
      <c r="W64" s="2" t="e">
        <v>#DIV/0!</v>
      </c>
      <c r="X64" s="1">
        <v>0</v>
      </c>
      <c r="Y64" s="1">
        <v>9</v>
      </c>
      <c r="Z64" s="2" t="e">
        <v>#DIV/0!</v>
      </c>
      <c r="AA64" s="2">
        <v>0</v>
      </c>
      <c r="AB64" s="2">
        <v>0</v>
      </c>
    </row>
    <row r="65" spans="1:28" x14ac:dyDescent="0.25">
      <c r="A65" s="5">
        <v>42369</v>
      </c>
      <c r="B65" t="s">
        <v>27</v>
      </c>
      <c r="C65" s="1"/>
      <c r="D65" s="1">
        <v>1071</v>
      </c>
      <c r="E65" s="2" t="e">
        <v>#DIV/0!</v>
      </c>
      <c r="F65" s="1"/>
      <c r="G65" s="1">
        <v>530370540.49000001</v>
      </c>
      <c r="H65" s="2" t="e">
        <v>#DIV/0!</v>
      </c>
      <c r="I65" s="1"/>
      <c r="J65" s="1">
        <v>704</v>
      </c>
      <c r="K65" s="2" t="e">
        <v>#DIV/0!</v>
      </c>
      <c r="L65" s="1"/>
      <c r="M65" s="1">
        <v>292</v>
      </c>
      <c r="N65" s="2" t="e">
        <v>#DIV/0!</v>
      </c>
      <c r="O65" s="1"/>
      <c r="P65" s="1">
        <v>10</v>
      </c>
      <c r="Q65" s="2" t="e">
        <v>#DIV/0!</v>
      </c>
      <c r="R65" s="1">
        <v>0</v>
      </c>
      <c r="S65" s="1">
        <v>0</v>
      </c>
      <c r="T65" s="2">
        <v>0</v>
      </c>
      <c r="U65" s="1"/>
      <c r="V65" s="1">
        <v>65</v>
      </c>
      <c r="W65" s="2" t="e">
        <v>#DIV/0!</v>
      </c>
      <c r="X65" s="1">
        <v>0</v>
      </c>
      <c r="Y65" s="1">
        <v>10</v>
      </c>
      <c r="Z65" s="2" t="e">
        <v>#DIV/0!</v>
      </c>
      <c r="AA65" s="2">
        <v>0</v>
      </c>
      <c r="AB65" s="2">
        <v>0</v>
      </c>
    </row>
    <row r="66" spans="1:28" x14ac:dyDescent="0.25">
      <c r="A66" s="5">
        <v>42369</v>
      </c>
      <c r="B66" t="s">
        <v>47</v>
      </c>
      <c r="C66" s="1"/>
      <c r="D66" s="1">
        <v>1611</v>
      </c>
      <c r="E66" s="2" t="e">
        <v>#DIV/0!</v>
      </c>
      <c r="F66" s="1"/>
      <c r="G66" s="1">
        <v>788788909.35000002</v>
      </c>
      <c r="H66" s="2" t="e">
        <v>#DIV/0!</v>
      </c>
      <c r="I66" s="1"/>
      <c r="J66" s="1">
        <v>1072</v>
      </c>
      <c r="K66" s="2" t="e">
        <v>#DIV/0!</v>
      </c>
      <c r="L66" s="1"/>
      <c r="M66" s="1">
        <v>304</v>
      </c>
      <c r="N66" s="2" t="e">
        <v>#DIV/0!</v>
      </c>
      <c r="O66" s="1"/>
      <c r="P66" s="1">
        <v>36</v>
      </c>
      <c r="Q66" s="2" t="e">
        <v>#DIV/0!</v>
      </c>
      <c r="R66" s="1">
        <v>0</v>
      </c>
      <c r="S66" s="1">
        <v>0</v>
      </c>
      <c r="T66" s="2">
        <v>0</v>
      </c>
      <c r="U66" s="1"/>
      <c r="V66" s="1">
        <v>199</v>
      </c>
      <c r="W66" s="2" t="e">
        <v>#DIV/0!</v>
      </c>
      <c r="X66" s="1">
        <v>0</v>
      </c>
      <c r="Y66" s="1">
        <v>36</v>
      </c>
      <c r="Z66" s="2" t="e">
        <v>#DIV/0!</v>
      </c>
      <c r="AA66" s="2">
        <v>0</v>
      </c>
      <c r="AB66" s="2">
        <v>0</v>
      </c>
    </row>
    <row r="67" spans="1:28" x14ac:dyDescent="0.25">
      <c r="A67" s="5">
        <v>42369</v>
      </c>
      <c r="B67" t="s">
        <v>39</v>
      </c>
      <c r="C67" s="1"/>
      <c r="D67" s="1">
        <v>917</v>
      </c>
      <c r="E67" s="2" t="e">
        <v>#DIV/0!</v>
      </c>
      <c r="F67" s="1"/>
      <c r="G67" s="1">
        <v>340446638.06</v>
      </c>
      <c r="H67" s="2" t="e">
        <v>#DIV/0!</v>
      </c>
      <c r="I67" s="1"/>
      <c r="J67" s="1">
        <v>812</v>
      </c>
      <c r="K67" s="2" t="e">
        <v>#DIV/0!</v>
      </c>
      <c r="L67" s="1"/>
      <c r="M67" s="1">
        <v>68</v>
      </c>
      <c r="N67" s="2" t="e">
        <v>#DIV/0!</v>
      </c>
      <c r="O67" s="1"/>
      <c r="P67" s="1">
        <v>12</v>
      </c>
      <c r="Q67" s="2" t="e">
        <v>#DIV/0!</v>
      </c>
      <c r="R67" s="1">
        <v>0</v>
      </c>
      <c r="S67" s="1">
        <v>0</v>
      </c>
      <c r="T67" s="2">
        <v>0</v>
      </c>
      <c r="U67" s="1"/>
      <c r="V67" s="1">
        <v>25</v>
      </c>
      <c r="W67" s="2" t="e">
        <v>#DIV/0!</v>
      </c>
      <c r="X67" s="1">
        <v>0</v>
      </c>
      <c r="Y67" s="1">
        <v>12</v>
      </c>
      <c r="Z67" s="2" t="e">
        <v>#DIV/0!</v>
      </c>
      <c r="AA67" s="2">
        <v>0</v>
      </c>
      <c r="AB67" s="2">
        <v>0</v>
      </c>
    </row>
    <row r="68" spans="1:28" x14ac:dyDescent="0.25">
      <c r="A68" s="5">
        <v>42369</v>
      </c>
      <c r="B68" t="s">
        <v>62</v>
      </c>
      <c r="C68" s="1"/>
      <c r="D68" s="1">
        <v>2726</v>
      </c>
      <c r="E68" s="2" t="e">
        <v>#DIV/0!</v>
      </c>
      <c r="F68" s="1"/>
      <c r="G68" s="1">
        <v>1148436338.55</v>
      </c>
      <c r="H68" s="2" t="e">
        <v>#DIV/0!</v>
      </c>
      <c r="I68" s="1"/>
      <c r="J68" s="1">
        <v>2107</v>
      </c>
      <c r="K68" s="2" t="e">
        <v>#DIV/0!</v>
      </c>
      <c r="L68" s="1"/>
      <c r="M68" s="1">
        <v>338</v>
      </c>
      <c r="N68" s="2" t="e">
        <v>#DIV/0!</v>
      </c>
      <c r="O68" s="1"/>
      <c r="P68" s="1">
        <v>39</v>
      </c>
      <c r="Q68" s="2" t="e">
        <v>#DIV/0!</v>
      </c>
      <c r="R68" s="1">
        <v>0</v>
      </c>
      <c r="S68" s="1">
        <v>0</v>
      </c>
      <c r="T68" s="2">
        <v>0</v>
      </c>
      <c r="U68" s="1"/>
      <c r="V68" s="1">
        <v>242</v>
      </c>
      <c r="W68" s="2" t="e">
        <v>#DIV/0!</v>
      </c>
      <c r="X68" s="1">
        <v>0</v>
      </c>
      <c r="Y68" s="1">
        <v>39</v>
      </c>
      <c r="Z68" s="2" t="e">
        <v>#DIV/0!</v>
      </c>
      <c r="AA68" s="2">
        <v>0</v>
      </c>
      <c r="AB68" s="2">
        <v>0</v>
      </c>
    </row>
    <row r="69" spans="1:28" x14ac:dyDescent="0.25">
      <c r="A69" s="5">
        <v>42369</v>
      </c>
      <c r="B69" t="s">
        <v>56</v>
      </c>
      <c r="C69" s="1"/>
      <c r="D69" s="1">
        <v>45</v>
      </c>
      <c r="E69" s="2" t="e">
        <v>#DIV/0!</v>
      </c>
      <c r="F69" s="1"/>
      <c r="G69" s="1">
        <v>40703781.479999997</v>
      </c>
      <c r="H69" s="2" t="e">
        <v>#DIV/0!</v>
      </c>
      <c r="I69" s="1"/>
      <c r="J69" s="1">
        <v>13</v>
      </c>
      <c r="K69" s="2" t="e">
        <v>#DIV/0!</v>
      </c>
      <c r="L69" s="1"/>
      <c r="M69" s="1">
        <v>23</v>
      </c>
      <c r="N69" s="2" t="e">
        <v>#DIV/0!</v>
      </c>
      <c r="O69" s="1"/>
      <c r="P69" s="1">
        <v>4</v>
      </c>
      <c r="Q69" s="2" t="e">
        <v>#DIV/0!</v>
      </c>
      <c r="R69" s="1">
        <v>0</v>
      </c>
      <c r="S69" s="1">
        <v>0</v>
      </c>
      <c r="T69" s="2">
        <v>0</v>
      </c>
      <c r="U69" s="1"/>
      <c r="V69" s="1">
        <v>5</v>
      </c>
      <c r="W69" s="2" t="e">
        <v>#DIV/0!</v>
      </c>
      <c r="X69" s="1">
        <v>0</v>
      </c>
      <c r="Y69" s="1">
        <v>4</v>
      </c>
      <c r="Z69" s="2" t="e">
        <v>#DIV/0!</v>
      </c>
      <c r="AA69" s="2">
        <v>0</v>
      </c>
      <c r="AB69" s="2">
        <v>0</v>
      </c>
    </row>
    <row r="70" spans="1:28" x14ac:dyDescent="0.25">
      <c r="A70" s="5">
        <v>42369</v>
      </c>
      <c r="B70" t="s">
        <v>4</v>
      </c>
      <c r="C70" s="1"/>
      <c r="D70" s="1">
        <v>937</v>
      </c>
      <c r="E70" s="2" t="e">
        <v>#DIV/0!</v>
      </c>
      <c r="F70" s="1"/>
      <c r="G70" s="1">
        <v>326623556.86000001</v>
      </c>
      <c r="H70" s="2" t="e">
        <v>#DIV/0!</v>
      </c>
      <c r="I70" s="1"/>
      <c r="J70" s="1">
        <v>734</v>
      </c>
      <c r="K70" s="2" t="e">
        <v>#DIV/0!</v>
      </c>
      <c r="L70" s="1"/>
      <c r="M70" s="1">
        <v>104</v>
      </c>
      <c r="N70" s="2" t="e">
        <v>#DIV/0!</v>
      </c>
      <c r="O70" s="1"/>
      <c r="P70" s="1">
        <v>4</v>
      </c>
      <c r="Q70" s="2" t="e">
        <v>#DIV/0!</v>
      </c>
      <c r="R70" s="1">
        <v>0</v>
      </c>
      <c r="S70" s="1">
        <v>0</v>
      </c>
      <c r="T70" s="2">
        <v>0</v>
      </c>
      <c r="U70" s="1"/>
      <c r="V70" s="1">
        <v>95</v>
      </c>
      <c r="W70" s="2" t="e">
        <v>#DIV/0!</v>
      </c>
      <c r="X70" s="1">
        <v>0</v>
      </c>
      <c r="Y70" s="1">
        <v>4</v>
      </c>
      <c r="Z70" s="2" t="e">
        <v>#DIV/0!</v>
      </c>
      <c r="AA70" s="2">
        <v>0</v>
      </c>
      <c r="AB70" s="2">
        <v>0</v>
      </c>
    </row>
    <row r="71" spans="1:28" x14ac:dyDescent="0.25">
      <c r="A71" s="5">
        <v>42369</v>
      </c>
      <c r="B71" t="s">
        <v>30</v>
      </c>
      <c r="C71" s="1"/>
      <c r="D71" s="1">
        <v>1929</v>
      </c>
      <c r="E71" s="2" t="e">
        <v>#DIV/0!</v>
      </c>
      <c r="F71" s="1"/>
      <c r="G71" s="1">
        <v>808439123.89999998</v>
      </c>
      <c r="H71" s="2" t="e">
        <v>#DIV/0!</v>
      </c>
      <c r="I71" s="1"/>
      <c r="J71" s="1">
        <v>1530</v>
      </c>
      <c r="K71" s="2" t="e">
        <v>#DIV/0!</v>
      </c>
      <c r="L71" s="1"/>
      <c r="M71" s="1">
        <v>231</v>
      </c>
      <c r="N71" s="2" t="e">
        <v>#DIV/0!</v>
      </c>
      <c r="O71" s="1"/>
      <c r="P71" s="1">
        <v>18</v>
      </c>
      <c r="Q71" s="2" t="e">
        <v>#DIV/0!</v>
      </c>
      <c r="R71" s="1">
        <v>0</v>
      </c>
      <c r="S71" s="1">
        <v>0</v>
      </c>
      <c r="T71" s="2">
        <v>0</v>
      </c>
      <c r="U71" s="1"/>
      <c r="V71" s="1">
        <v>150</v>
      </c>
      <c r="W71" s="2" t="e">
        <v>#DIV/0!</v>
      </c>
      <c r="X71" s="1">
        <v>0</v>
      </c>
      <c r="Y71" s="1">
        <v>18</v>
      </c>
      <c r="Z71" s="2" t="e">
        <v>#DIV/0!</v>
      </c>
      <c r="AA71" s="2">
        <v>0</v>
      </c>
      <c r="AB71" s="2">
        <v>0</v>
      </c>
    </row>
    <row r="72" spans="1:28" x14ac:dyDescent="0.25">
      <c r="A72" s="5">
        <v>42369</v>
      </c>
      <c r="B72" t="s">
        <v>59</v>
      </c>
      <c r="C72" s="1"/>
      <c r="D72" s="1">
        <v>900</v>
      </c>
      <c r="E72" s="2" t="e">
        <v>#DIV/0!</v>
      </c>
      <c r="F72" s="1"/>
      <c r="G72" s="1">
        <v>450709525.45999998</v>
      </c>
      <c r="H72" s="2" t="e">
        <v>#DIV/0!</v>
      </c>
      <c r="I72" s="1"/>
      <c r="J72" s="1">
        <v>531</v>
      </c>
      <c r="K72" s="2" t="e">
        <v>#DIV/0!</v>
      </c>
      <c r="L72" s="1"/>
      <c r="M72" s="1">
        <v>296</v>
      </c>
      <c r="N72" s="2" t="e">
        <v>#DIV/0!</v>
      </c>
      <c r="O72" s="1"/>
      <c r="P72" s="1">
        <v>25</v>
      </c>
      <c r="Q72" s="2" t="e">
        <v>#DIV/0!</v>
      </c>
      <c r="R72" s="1">
        <v>0</v>
      </c>
      <c r="S72" s="1">
        <v>0</v>
      </c>
      <c r="T72" s="2">
        <v>0</v>
      </c>
      <c r="U72" s="1"/>
      <c r="V72" s="1">
        <v>48</v>
      </c>
      <c r="W72" s="2" t="e">
        <v>#DIV/0!</v>
      </c>
      <c r="X72" s="1">
        <v>0</v>
      </c>
      <c r="Y72" s="1">
        <v>25</v>
      </c>
      <c r="Z72" s="2" t="e">
        <v>#DIV/0!</v>
      </c>
      <c r="AA72" s="2">
        <v>0</v>
      </c>
      <c r="AB72" s="2">
        <v>0</v>
      </c>
    </row>
    <row r="73" spans="1:28" x14ac:dyDescent="0.25">
      <c r="A73" s="5">
        <v>42369</v>
      </c>
      <c r="B73" t="s">
        <v>63</v>
      </c>
      <c r="C73" s="1"/>
      <c r="D73" s="1">
        <v>767</v>
      </c>
      <c r="E73" s="2" t="e">
        <v>#DIV/0!</v>
      </c>
      <c r="F73" s="1"/>
      <c r="G73" s="1">
        <v>237294437.81</v>
      </c>
      <c r="H73" s="2" t="e">
        <v>#DIV/0!</v>
      </c>
      <c r="I73" s="1"/>
      <c r="J73" s="1">
        <v>493</v>
      </c>
      <c r="K73" s="2" t="e">
        <v>#DIV/0!</v>
      </c>
      <c r="L73" s="1"/>
      <c r="M73" s="1">
        <v>67</v>
      </c>
      <c r="N73" s="2" t="e">
        <v>#DIV/0!</v>
      </c>
      <c r="O73" s="1"/>
      <c r="P73" s="1">
        <v>11</v>
      </c>
      <c r="Q73" s="2" t="e">
        <v>#DIV/0!</v>
      </c>
      <c r="R73" s="1">
        <v>0</v>
      </c>
      <c r="S73" s="1">
        <v>0</v>
      </c>
      <c r="T73" s="2">
        <v>0</v>
      </c>
      <c r="U73" s="1"/>
      <c r="V73" s="1">
        <v>196</v>
      </c>
      <c r="W73" s="2" t="e">
        <v>#DIV/0!</v>
      </c>
      <c r="X73" s="1">
        <v>0</v>
      </c>
      <c r="Y73" s="1">
        <v>11</v>
      </c>
      <c r="Z73" s="2" t="e">
        <v>#DIV/0!</v>
      </c>
      <c r="AA73" s="2">
        <v>0</v>
      </c>
      <c r="AB73" s="2">
        <v>0</v>
      </c>
    </row>
    <row r="74" spans="1:28" x14ac:dyDescent="0.25">
      <c r="A74" s="5">
        <v>42369</v>
      </c>
      <c r="B74" t="s">
        <v>187</v>
      </c>
      <c r="C74" s="1"/>
      <c r="D74" s="1">
        <v>91</v>
      </c>
      <c r="E74" s="2" t="e">
        <v>#DIV/0!</v>
      </c>
      <c r="F74" s="1"/>
      <c r="G74" s="1">
        <v>66061833.439999998</v>
      </c>
      <c r="H74" s="2" t="e">
        <v>#DIV/0!</v>
      </c>
      <c r="I74" s="1"/>
      <c r="J74" s="1">
        <v>43</v>
      </c>
      <c r="K74" s="2" t="e">
        <v>#DIV/0!</v>
      </c>
      <c r="L74" s="1"/>
      <c r="M74" s="1">
        <v>27</v>
      </c>
      <c r="N74" s="2" t="e">
        <v>#DIV/0!</v>
      </c>
      <c r="O74" s="1"/>
      <c r="P74" s="1">
        <v>4</v>
      </c>
      <c r="Q74" s="2" t="e">
        <v>#DIV/0!</v>
      </c>
      <c r="R74" s="1">
        <v>0</v>
      </c>
      <c r="S74" s="1">
        <v>0</v>
      </c>
      <c r="T74" s="2">
        <v>0</v>
      </c>
      <c r="U74" s="1"/>
      <c r="V74" s="1">
        <v>17</v>
      </c>
      <c r="W74" s="2" t="e">
        <v>#DIV/0!</v>
      </c>
      <c r="X74" s="1">
        <v>0</v>
      </c>
      <c r="Y74" s="1">
        <v>4</v>
      </c>
      <c r="Z74" s="2" t="e">
        <v>#DIV/0!</v>
      </c>
      <c r="AA74" s="2">
        <v>0</v>
      </c>
      <c r="AB74" s="2">
        <v>0</v>
      </c>
    </row>
    <row r="75" spans="1:28" x14ac:dyDescent="0.25">
      <c r="A75" s="5">
        <v>42369</v>
      </c>
      <c r="B75" t="s">
        <v>190</v>
      </c>
      <c r="C75" s="1"/>
      <c r="D75" s="1">
        <v>12</v>
      </c>
      <c r="E75" s="2" t="e">
        <v>#DIV/0!</v>
      </c>
      <c r="F75" s="1"/>
      <c r="G75" s="1">
        <v>7275079.7000000002</v>
      </c>
      <c r="H75" s="2" t="e">
        <v>#DIV/0!</v>
      </c>
      <c r="I75" s="1"/>
      <c r="J75" s="1"/>
      <c r="K75" s="2" t="e">
        <v>#DIV/0!</v>
      </c>
      <c r="L75" s="1"/>
      <c r="M75" s="1"/>
      <c r="N75" s="2" t="e">
        <v>#DIV/0!</v>
      </c>
      <c r="O75" s="1"/>
      <c r="P75" s="1"/>
      <c r="Q75" s="2" t="e">
        <v>#DIV/0!</v>
      </c>
      <c r="R75" s="1">
        <v>0</v>
      </c>
      <c r="S75" s="1">
        <v>0</v>
      </c>
      <c r="T75" s="2">
        <v>0</v>
      </c>
      <c r="U75" s="1"/>
      <c r="V75" s="1">
        <v>0</v>
      </c>
      <c r="W75" s="2" t="e">
        <v>#DIV/0!</v>
      </c>
      <c r="X75" s="1">
        <v>0</v>
      </c>
      <c r="Y75" s="1">
        <v>0</v>
      </c>
      <c r="Z75" s="2" t="e">
        <v>#DIV/0!</v>
      </c>
      <c r="AA75" s="2">
        <v>0</v>
      </c>
      <c r="AB75" s="2">
        <v>0</v>
      </c>
    </row>
    <row r="76" spans="1:28" x14ac:dyDescent="0.25">
      <c r="A76" s="5">
        <v>42369</v>
      </c>
      <c r="B76" t="s">
        <v>188</v>
      </c>
      <c r="C76" s="1"/>
      <c r="D76" s="1">
        <v>49</v>
      </c>
      <c r="E76" s="2" t="e">
        <v>#DIV/0!</v>
      </c>
      <c r="F76" s="1"/>
      <c r="G76" s="1">
        <v>31866533.940000001</v>
      </c>
      <c r="H76" s="2" t="e">
        <v>#DIV/0!</v>
      </c>
      <c r="I76" s="1"/>
      <c r="J76" s="1">
        <v>25</v>
      </c>
      <c r="K76" s="2" t="e">
        <v>#DIV/0!</v>
      </c>
      <c r="L76" s="1"/>
      <c r="M76" s="1">
        <v>15</v>
      </c>
      <c r="N76" s="2" t="e">
        <v>#DIV/0!</v>
      </c>
      <c r="O76" s="1"/>
      <c r="P76" s="1">
        <v>6</v>
      </c>
      <c r="Q76" s="2" t="e">
        <v>#DIV/0!</v>
      </c>
      <c r="R76" s="1">
        <v>0</v>
      </c>
      <c r="S76" s="1">
        <v>0</v>
      </c>
      <c r="T76" s="2">
        <v>0</v>
      </c>
      <c r="U76" s="1"/>
      <c r="V76" s="1">
        <v>3</v>
      </c>
      <c r="W76" s="2" t="e">
        <v>#DIV/0!</v>
      </c>
      <c r="X76" s="1">
        <v>0</v>
      </c>
      <c r="Y76" s="1">
        <v>6</v>
      </c>
      <c r="Z76" s="2" t="e">
        <v>#DIV/0!</v>
      </c>
      <c r="AA76" s="2">
        <v>0</v>
      </c>
      <c r="AB76" s="2">
        <v>0</v>
      </c>
    </row>
    <row r="77" spans="1:28" x14ac:dyDescent="0.25">
      <c r="A77" s="5">
        <v>42369</v>
      </c>
      <c r="B77" t="s">
        <v>189</v>
      </c>
      <c r="C77" s="1"/>
      <c r="D77" s="1">
        <v>59</v>
      </c>
      <c r="E77" s="2" t="e">
        <v>#DIV/0!</v>
      </c>
      <c r="F77" s="1"/>
      <c r="G77" s="1">
        <v>40405485.609999999</v>
      </c>
      <c r="H77" s="2" t="e">
        <v>#DIV/0!</v>
      </c>
      <c r="I77" s="1"/>
      <c r="J77" s="1">
        <v>27</v>
      </c>
      <c r="K77" s="2" t="e">
        <v>#DIV/0!</v>
      </c>
      <c r="L77" s="1"/>
      <c r="M77" s="1">
        <v>24</v>
      </c>
      <c r="N77" s="2" t="e">
        <v>#DIV/0!</v>
      </c>
      <c r="O77" s="1"/>
      <c r="P77" s="1">
        <v>2</v>
      </c>
      <c r="Q77" s="2" t="e">
        <v>#DIV/0!</v>
      </c>
      <c r="R77" s="1">
        <v>0</v>
      </c>
      <c r="S77" s="1">
        <v>0</v>
      </c>
      <c r="T77" s="2">
        <v>0</v>
      </c>
      <c r="U77" s="1"/>
      <c r="V77" s="1">
        <v>6</v>
      </c>
      <c r="W77" s="2" t="e">
        <v>#DIV/0!</v>
      </c>
      <c r="X77" s="1">
        <v>0</v>
      </c>
      <c r="Y77" s="1">
        <v>2</v>
      </c>
      <c r="Z77" s="2" t="e">
        <v>#DIV/0!</v>
      </c>
      <c r="AA77" s="2">
        <v>0</v>
      </c>
      <c r="AB77" s="2">
        <v>0</v>
      </c>
    </row>
    <row r="78" spans="1:28" x14ac:dyDescent="0.25">
      <c r="A78" s="5" t="s">
        <v>102</v>
      </c>
      <c r="C78" s="1"/>
      <c r="D78" s="1">
        <v>74924</v>
      </c>
      <c r="E78" s="2" t="e">
        <v>#DIV/0!</v>
      </c>
      <c r="F78" s="1"/>
      <c r="G78" s="1">
        <v>34734862427.920006</v>
      </c>
      <c r="H78" s="2" t="e">
        <v>#DIV/0!</v>
      </c>
      <c r="I78" s="1"/>
      <c r="J78" s="1">
        <v>52460</v>
      </c>
      <c r="K78" s="2" t="e">
        <v>#DIV/0!</v>
      </c>
      <c r="L78" s="1"/>
      <c r="M78" s="1">
        <v>14292</v>
      </c>
      <c r="N78" s="2" t="e">
        <v>#DIV/0!</v>
      </c>
      <c r="O78" s="1"/>
      <c r="P78" s="1">
        <v>1510</v>
      </c>
      <c r="Q78" s="2" t="e">
        <v>#DIV/0!</v>
      </c>
      <c r="R78" s="1">
        <v>0</v>
      </c>
      <c r="S78" s="1">
        <v>0</v>
      </c>
      <c r="T78" s="2">
        <v>0</v>
      </c>
      <c r="U78" s="1"/>
      <c r="V78" s="1">
        <v>6650</v>
      </c>
      <c r="W78" s="2" t="e">
        <v>#DIV/0!</v>
      </c>
      <c r="X78" s="1">
        <v>0</v>
      </c>
      <c r="Y78" s="1">
        <v>1510</v>
      </c>
      <c r="Z78" s="2" t="e">
        <v>#DIV/0!</v>
      </c>
      <c r="AA78" s="2">
        <v>0</v>
      </c>
      <c r="AB78" s="2">
        <v>0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ivt_Pivot_Plan_MAC_On">
                <anchor moveWithCells="1" sizeWithCells="1">
                  <from>
                    <xdr:col>19</xdr:col>
                    <xdr:colOff>257175</xdr:colOff>
                    <xdr:row>8</xdr:row>
                    <xdr:rowOff>104775</xdr:rowOff>
                  </from>
                  <to>
                    <xdr:col>20</xdr:col>
                    <xdr:colOff>495300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ivt_Pivot_Plan_MAC_Off">
                <anchor moveWithCells="1" sizeWithCells="1">
                  <from>
                    <xdr:col>20</xdr:col>
                    <xdr:colOff>542925</xdr:colOff>
                    <xdr:row>8</xdr:row>
                    <xdr:rowOff>104775</xdr:rowOff>
                  </from>
                  <to>
                    <xdr:col>22</xdr:col>
                    <xdr:colOff>247650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orecast_coef">
                <anchor moveWithCells="1" sizeWithCells="1">
                  <from>
                    <xdr:col>19</xdr:col>
                    <xdr:colOff>314325</xdr:colOff>
                    <xdr:row>10</xdr:row>
                    <xdr:rowOff>123825</xdr:rowOff>
                  </from>
                  <to>
                    <xdr:col>22</xdr:col>
                    <xdr:colOff>152400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0070C0"/>
  </sheetPr>
  <dimension ref="A5:M15"/>
  <sheetViews>
    <sheetView showGridLines="0" zoomScale="85" zoomScaleNormal="85" workbookViewId="0">
      <pane ySplit="13" topLeftCell="A14" activePane="bottomLeft" state="frozen"/>
      <selection pane="bottomLeft" activeCell="D13" sqref="D13"/>
    </sheetView>
  </sheetViews>
  <sheetFormatPr defaultRowHeight="15" x14ac:dyDescent="0.25"/>
  <cols>
    <col min="1" max="2" width="12.7109375" customWidth="1"/>
    <col min="3" max="3" width="18.28515625" customWidth="1"/>
    <col min="4" max="15" width="15.28515625" customWidth="1"/>
    <col min="16" max="18" width="12.5703125" customWidth="1"/>
    <col min="19" max="19" width="10" customWidth="1"/>
    <col min="20" max="20" width="12.5703125" customWidth="1"/>
  </cols>
  <sheetData>
    <row r="5" spans="1:13" x14ac:dyDescent="0.25">
      <c r="A5" s="12"/>
      <c r="B5" s="12"/>
    </row>
    <row r="6" spans="1:13" x14ac:dyDescent="0.25">
      <c r="A6" s="12"/>
      <c r="B6" s="12"/>
    </row>
    <row r="7" spans="1:13" x14ac:dyDescent="0.25">
      <c r="A7" s="12"/>
      <c r="B7" s="12"/>
    </row>
    <row r="8" spans="1:13" x14ac:dyDescent="0.25">
      <c r="A8" s="12"/>
      <c r="B8" s="12"/>
    </row>
    <row r="9" spans="1:13" x14ac:dyDescent="0.25">
      <c r="A9" s="12"/>
      <c r="B9" s="12"/>
    </row>
    <row r="13" spans="1:13" ht="45" x14ac:dyDescent="0.25">
      <c r="A13" s="9" t="s">
        <v>159</v>
      </c>
      <c r="B13" s="4" t="s">
        <v>119</v>
      </c>
      <c r="C13" s="4" t="s">
        <v>120</v>
      </c>
      <c r="D13" s="4" t="s">
        <v>121</v>
      </c>
      <c r="E13" s="4" t="s">
        <v>122</v>
      </c>
      <c r="F13" s="4" t="s">
        <v>123</v>
      </c>
      <c r="G13" s="4" t="s">
        <v>124</v>
      </c>
      <c r="H13" s="4" t="s">
        <v>125</v>
      </c>
      <c r="I13" s="4" t="s">
        <v>126</v>
      </c>
      <c r="J13" s="4" t="s">
        <v>127</v>
      </c>
      <c r="K13" s="4" t="s">
        <v>128</v>
      </c>
      <c r="L13" s="4" t="s">
        <v>129</v>
      </c>
      <c r="M13" s="4" t="s">
        <v>148</v>
      </c>
    </row>
    <row r="14" spans="1:13" x14ac:dyDescent="0.25">
      <c r="A14" s="5">
        <v>42369</v>
      </c>
      <c r="B14" s="2">
        <v>1.4896007186349954E-2</v>
      </c>
      <c r="C14" s="2">
        <v>1.2950644139717648E-2</v>
      </c>
      <c r="D14" s="2">
        <v>1.0707780528604884E-4</v>
      </c>
      <c r="E14" s="2">
        <v>5.6462869080997742E-5</v>
      </c>
      <c r="F14" s="2">
        <v>0.74412848562060896</v>
      </c>
      <c r="G14" s="2">
        <v>0.66346940113588693</v>
      </c>
      <c r="H14" s="2">
        <v>3.0481418534626968E-5</v>
      </c>
      <c r="I14" s="2">
        <v>1.6361751163359176E-5</v>
      </c>
      <c r="J14" s="2">
        <v>0</v>
      </c>
      <c r="K14" s="2">
        <v>0</v>
      </c>
      <c r="L14" s="2">
        <v>0</v>
      </c>
      <c r="M14" s="2">
        <v>0</v>
      </c>
    </row>
    <row r="15" spans="1:13" x14ac:dyDescent="0.25">
      <c r="A15" s="5" t="s">
        <v>102</v>
      </c>
      <c r="B15" s="2">
        <v>1.4896007186349954E-2</v>
      </c>
      <c r="C15" s="2">
        <v>1.2950644139717648E-2</v>
      </c>
      <c r="D15" s="2">
        <v>1.0707780528604884E-4</v>
      </c>
      <c r="E15" s="2">
        <v>5.6462869080997742E-5</v>
      </c>
      <c r="F15" s="2">
        <v>0.74412848562060896</v>
      </c>
      <c r="G15" s="2">
        <v>0.66346940113588693</v>
      </c>
      <c r="H15" s="2">
        <v>3.0481418534626968E-5</v>
      </c>
      <c r="I15" s="2">
        <v>1.6361751163359176E-5</v>
      </c>
      <c r="J15" s="2">
        <v>0</v>
      </c>
      <c r="K15" s="2">
        <v>0</v>
      </c>
      <c r="L15" s="2">
        <v>0</v>
      </c>
      <c r="M15" s="2">
        <v>0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pivt_Pivot_SU_MAC_On">
                <anchor moveWithCells="1" sizeWithCells="1">
                  <from>
                    <xdr:col>15</xdr:col>
                    <xdr:colOff>200025</xdr:colOff>
                    <xdr:row>11</xdr:row>
                    <xdr:rowOff>66675</xdr:rowOff>
                  </from>
                  <to>
                    <xdr:col>16</xdr:col>
                    <xdr:colOff>628650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pivt_Pivot_SU_MAC_Off">
                <anchor moveWithCells="1" sizeWithCells="1">
                  <from>
                    <xdr:col>15</xdr:col>
                    <xdr:colOff>200025</xdr:colOff>
                    <xdr:row>12</xdr:row>
                    <xdr:rowOff>219075</xdr:rowOff>
                  </from>
                  <to>
                    <xdr:col>16</xdr:col>
                    <xdr:colOff>628650</xdr:colOff>
                    <xdr:row>12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0070C0"/>
  </sheetPr>
  <dimension ref="A5:F78"/>
  <sheetViews>
    <sheetView showGridLines="0" zoomScale="85" zoomScaleNormal="85" workbookViewId="0">
      <pane ySplit="13" topLeftCell="A73" activePane="bottomLeft" state="frozen"/>
      <selection pane="bottomLeft" activeCell="D74" sqref="D74"/>
    </sheetView>
  </sheetViews>
  <sheetFormatPr defaultRowHeight="15" x14ac:dyDescent="0.25"/>
  <cols>
    <col min="1" max="2" width="12.7109375" customWidth="1"/>
    <col min="3" max="3" width="18.28515625" customWidth="1"/>
    <col min="4" max="6" width="12.5703125" customWidth="1"/>
    <col min="7" max="8" width="13.7109375" customWidth="1"/>
    <col min="9" max="12" width="12.5703125" customWidth="1"/>
    <col min="13" max="14" width="10.5703125" customWidth="1"/>
    <col min="15" max="18" width="12.5703125" customWidth="1"/>
    <col min="19" max="19" width="10" customWidth="1"/>
    <col min="20" max="20" width="12.5703125" customWidth="1"/>
  </cols>
  <sheetData>
    <row r="5" spans="1:6" x14ac:dyDescent="0.25">
      <c r="A5" s="12"/>
      <c r="B5" s="12"/>
    </row>
    <row r="6" spans="1:6" x14ac:dyDescent="0.25">
      <c r="A6" s="12"/>
      <c r="B6" s="12"/>
    </row>
    <row r="7" spans="1:6" x14ac:dyDescent="0.25">
      <c r="A7" s="12"/>
      <c r="B7" s="12"/>
    </row>
    <row r="8" spans="1:6" x14ac:dyDescent="0.25">
      <c r="A8" s="12"/>
      <c r="B8" s="12"/>
    </row>
    <row r="9" spans="1:6" x14ac:dyDescent="0.25">
      <c r="A9" s="12"/>
      <c r="B9" s="12"/>
    </row>
    <row r="13" spans="1:6" ht="45" x14ac:dyDescent="0.25">
      <c r="A13" s="9" t="s">
        <v>159</v>
      </c>
      <c r="B13" s="9" t="s">
        <v>0</v>
      </c>
      <c r="C13" s="4" t="s">
        <v>105</v>
      </c>
      <c r="D13" s="4" t="s">
        <v>135</v>
      </c>
      <c r="E13" s="4" t="s">
        <v>134</v>
      </c>
      <c r="F13" s="4" t="s">
        <v>169</v>
      </c>
    </row>
    <row r="14" spans="1:6" x14ac:dyDescent="0.25">
      <c r="A14" s="5">
        <v>42369</v>
      </c>
      <c r="B14" t="s">
        <v>58</v>
      </c>
      <c r="C14" s="1">
        <v>518927.13989761093</v>
      </c>
      <c r="D14" s="18">
        <v>18.163530000000002</v>
      </c>
      <c r="E14" s="18">
        <v>45.85</v>
      </c>
      <c r="F14" s="2">
        <v>0.43980000000000002</v>
      </c>
    </row>
    <row r="15" spans="1:6" x14ac:dyDescent="0.25">
      <c r="A15" s="5">
        <v>42369</v>
      </c>
      <c r="B15" t="s">
        <v>49</v>
      </c>
      <c r="C15" s="1">
        <v>411865.58190098999</v>
      </c>
      <c r="D15" s="18">
        <v>17.6553687</v>
      </c>
      <c r="E15" s="18">
        <v>42.07</v>
      </c>
      <c r="F15" s="2">
        <v>0.43669999999999998</v>
      </c>
    </row>
    <row r="16" spans="1:6" x14ac:dyDescent="0.25">
      <c r="A16" s="5">
        <v>42369</v>
      </c>
      <c r="B16" t="s">
        <v>51</v>
      </c>
      <c r="C16" s="1">
        <v>549672.63989113504</v>
      </c>
      <c r="D16" s="18">
        <v>18.430567100000001</v>
      </c>
      <c r="E16" s="18">
        <v>45.19</v>
      </c>
      <c r="F16" s="2">
        <v>0.41120000000000001</v>
      </c>
    </row>
    <row r="17" spans="1:6" x14ac:dyDescent="0.25">
      <c r="A17" s="5">
        <v>42369</v>
      </c>
      <c r="B17" t="s">
        <v>36</v>
      </c>
      <c r="C17" s="1">
        <v>480259.63456140301</v>
      </c>
      <c r="D17" s="18">
        <v>18.4861006</v>
      </c>
      <c r="E17" s="18">
        <v>46.64</v>
      </c>
      <c r="F17" s="2">
        <v>0.4294</v>
      </c>
    </row>
    <row r="18" spans="1:6" x14ac:dyDescent="0.25">
      <c r="A18" s="5">
        <v>42369</v>
      </c>
      <c r="B18" t="s">
        <v>53</v>
      </c>
      <c r="C18" s="1">
        <v>400600.11401929299</v>
      </c>
      <c r="D18" s="18">
        <v>18.7404914</v>
      </c>
      <c r="E18" s="18">
        <v>44.53</v>
      </c>
      <c r="F18" s="2">
        <v>0.44590000000000002</v>
      </c>
    </row>
    <row r="19" spans="1:6" x14ac:dyDescent="0.25">
      <c r="A19" s="5">
        <v>42369</v>
      </c>
      <c r="B19" t="s">
        <v>24</v>
      </c>
      <c r="C19" s="1">
        <v>400466.270923567</v>
      </c>
      <c r="D19" s="18">
        <v>18.126815499999999</v>
      </c>
      <c r="E19" s="18">
        <v>43.28</v>
      </c>
      <c r="F19" s="2">
        <v>0.4073</v>
      </c>
    </row>
    <row r="20" spans="1:6" x14ac:dyDescent="0.25">
      <c r="A20" s="5">
        <v>42369</v>
      </c>
      <c r="B20" t="s">
        <v>23</v>
      </c>
      <c r="C20" s="1">
        <v>985417.44706896599</v>
      </c>
      <c r="D20" s="18">
        <v>17.933657400000001</v>
      </c>
      <c r="E20" s="18">
        <v>51.25</v>
      </c>
      <c r="F20" s="2">
        <v>0.39259999999999995</v>
      </c>
    </row>
    <row r="21" spans="1:6" x14ac:dyDescent="0.25">
      <c r="A21" s="5">
        <v>42369</v>
      </c>
      <c r="B21" t="s">
        <v>37</v>
      </c>
      <c r="C21" s="1">
        <v>338306.22651776602</v>
      </c>
      <c r="D21" s="18">
        <v>18.4855248</v>
      </c>
      <c r="E21" s="18">
        <v>41.18</v>
      </c>
      <c r="F21" s="2">
        <v>0.46150000000000002</v>
      </c>
    </row>
    <row r="22" spans="1:6" x14ac:dyDescent="0.25">
      <c r="A22" s="5">
        <v>42369</v>
      </c>
      <c r="B22" t="s">
        <v>43</v>
      </c>
      <c r="C22" s="1">
        <v>422536.45511761005</v>
      </c>
      <c r="D22" s="18">
        <v>18.1434645</v>
      </c>
      <c r="E22" s="18">
        <v>42.3</v>
      </c>
      <c r="F22" s="2">
        <v>0.47089999999999999</v>
      </c>
    </row>
    <row r="23" spans="1:6" x14ac:dyDescent="0.25">
      <c r="A23" s="5">
        <v>42369</v>
      </c>
      <c r="B23" t="s">
        <v>32</v>
      </c>
      <c r="C23" s="1">
        <v>437599.90266710799</v>
      </c>
      <c r="D23" s="18">
        <v>18.1177405</v>
      </c>
      <c r="E23" s="18">
        <v>41.3</v>
      </c>
      <c r="F23" s="2">
        <v>0.43580000000000002</v>
      </c>
    </row>
    <row r="24" spans="1:6" x14ac:dyDescent="0.25">
      <c r="A24" s="5">
        <v>42369</v>
      </c>
      <c r="B24" t="s">
        <v>42</v>
      </c>
      <c r="C24" s="1">
        <v>519815.86117505998</v>
      </c>
      <c r="D24" s="18">
        <v>18.898433499999999</v>
      </c>
      <c r="E24" s="18">
        <v>46.16</v>
      </c>
      <c r="F24" s="2">
        <v>0.43170000000000003</v>
      </c>
    </row>
    <row r="25" spans="1:6" x14ac:dyDescent="0.25">
      <c r="A25" s="5">
        <v>42369</v>
      </c>
      <c r="B25" t="s">
        <v>33</v>
      </c>
      <c r="C25" s="1">
        <v>425419.93370370398</v>
      </c>
      <c r="D25" s="18">
        <v>18.169781400000002</v>
      </c>
      <c r="E25" s="18">
        <v>43.110000000000007</v>
      </c>
      <c r="F25" s="2">
        <v>0.43649999999999994</v>
      </c>
    </row>
    <row r="26" spans="1:6" x14ac:dyDescent="0.25">
      <c r="A26" s="5">
        <v>42369</v>
      </c>
      <c r="B26" t="s">
        <v>15</v>
      </c>
      <c r="C26" s="1">
        <v>299758.98119211802</v>
      </c>
      <c r="D26" s="18">
        <v>18.490157700000001</v>
      </c>
      <c r="E26" s="18">
        <v>40.159999999999997</v>
      </c>
      <c r="F26" s="2">
        <v>0.46589999999999998</v>
      </c>
    </row>
    <row r="27" spans="1:6" x14ac:dyDescent="0.25">
      <c r="A27" s="5">
        <v>42369</v>
      </c>
      <c r="B27" t="s">
        <v>18</v>
      </c>
      <c r="C27" s="1">
        <v>308649.58365289302</v>
      </c>
      <c r="D27" s="18">
        <v>18.417108500000001</v>
      </c>
      <c r="E27" s="18">
        <v>40.97</v>
      </c>
      <c r="F27" s="2">
        <v>0.4335</v>
      </c>
    </row>
    <row r="28" spans="1:6" x14ac:dyDescent="0.25">
      <c r="A28" s="5">
        <v>42369</v>
      </c>
      <c r="B28" t="s">
        <v>54</v>
      </c>
      <c r="C28" s="1">
        <v>551489.25723999995</v>
      </c>
      <c r="D28" s="18">
        <v>17.815799500000001</v>
      </c>
      <c r="E28" s="18">
        <v>42.5</v>
      </c>
      <c r="F28" s="2">
        <v>0.41139999999999999</v>
      </c>
    </row>
    <row r="29" spans="1:6" x14ac:dyDescent="0.25">
      <c r="A29" s="5">
        <v>42369</v>
      </c>
      <c r="B29" t="s">
        <v>44</v>
      </c>
      <c r="C29" s="1">
        <v>338480.34539074602</v>
      </c>
      <c r="D29" s="18">
        <v>17.201105600000002</v>
      </c>
      <c r="E29" s="18">
        <v>38.9</v>
      </c>
      <c r="F29" s="2">
        <v>0.41610000000000003</v>
      </c>
    </row>
    <row r="30" spans="1:6" x14ac:dyDescent="0.25">
      <c r="A30" s="5">
        <v>42369</v>
      </c>
      <c r="B30" t="s">
        <v>52</v>
      </c>
      <c r="C30" s="1">
        <v>555852.62861216697</v>
      </c>
      <c r="D30" s="18">
        <v>16.9855862</v>
      </c>
      <c r="E30" s="18">
        <v>44.32</v>
      </c>
      <c r="F30" s="2">
        <v>0.44979999999999998</v>
      </c>
    </row>
    <row r="31" spans="1:6" x14ac:dyDescent="0.25">
      <c r="A31" s="5">
        <v>42369</v>
      </c>
      <c r="B31" t="s">
        <v>8</v>
      </c>
      <c r="C31" s="1">
        <v>426029.098</v>
      </c>
      <c r="D31" s="18">
        <v>18.7228189</v>
      </c>
      <c r="E31" s="18">
        <v>42.4</v>
      </c>
      <c r="F31" s="2">
        <v>0.41739999999999999</v>
      </c>
    </row>
    <row r="32" spans="1:6" x14ac:dyDescent="0.25">
      <c r="A32" s="5">
        <v>42369</v>
      </c>
      <c r="B32" t="s">
        <v>45</v>
      </c>
      <c r="C32" s="1">
        <v>400051.30996531801</v>
      </c>
      <c r="D32" s="18">
        <v>18.491431200000001</v>
      </c>
      <c r="E32" s="18">
        <v>43.09</v>
      </c>
      <c r="F32" s="2">
        <v>0.44840000000000002</v>
      </c>
    </row>
    <row r="33" spans="1:6" x14ac:dyDescent="0.25">
      <c r="A33" s="5">
        <v>42369</v>
      </c>
      <c r="B33" t="s">
        <v>12</v>
      </c>
      <c r="C33" s="1">
        <v>371617.20424639602</v>
      </c>
      <c r="D33" s="18">
        <v>18.377870000000001</v>
      </c>
      <c r="E33" s="18">
        <v>42.62</v>
      </c>
      <c r="F33" s="2">
        <v>0.45340000000000003</v>
      </c>
    </row>
    <row r="34" spans="1:6" x14ac:dyDescent="0.25">
      <c r="A34" s="5">
        <v>42369</v>
      </c>
      <c r="B34" t="s">
        <v>22</v>
      </c>
      <c r="C34" s="1">
        <v>420453.74081871298</v>
      </c>
      <c r="D34" s="18">
        <v>18.995353999999999</v>
      </c>
      <c r="E34" s="18">
        <v>42.8</v>
      </c>
      <c r="F34" s="2">
        <v>0.36680000000000001</v>
      </c>
    </row>
    <row r="35" spans="1:6" x14ac:dyDescent="0.25">
      <c r="A35" s="5">
        <v>42369</v>
      </c>
      <c r="B35" t="s">
        <v>7</v>
      </c>
      <c r="C35" s="1">
        <v>513537.95352857094</v>
      </c>
      <c r="D35" s="18">
        <v>17.967836399999999</v>
      </c>
      <c r="E35" s="18">
        <v>44.35</v>
      </c>
      <c r="F35" s="2">
        <v>0.42709999999999998</v>
      </c>
    </row>
    <row r="36" spans="1:6" x14ac:dyDescent="0.25">
      <c r="A36" s="5">
        <v>42369</v>
      </c>
      <c r="B36" t="s">
        <v>11</v>
      </c>
      <c r="C36" s="1">
        <v>500620.04927058797</v>
      </c>
      <c r="D36" s="18">
        <v>18.451528199999998</v>
      </c>
      <c r="E36" s="18">
        <v>43.94</v>
      </c>
      <c r="F36" s="2">
        <v>0.43139999999999995</v>
      </c>
    </row>
    <row r="37" spans="1:6" x14ac:dyDescent="0.25">
      <c r="A37" s="5">
        <v>42369</v>
      </c>
      <c r="B37" t="s">
        <v>50</v>
      </c>
      <c r="C37" s="1">
        <v>416564.71527638199</v>
      </c>
      <c r="D37" s="18">
        <v>18.360289999999999</v>
      </c>
      <c r="E37" s="18">
        <v>46.7</v>
      </c>
      <c r="F37" s="2">
        <v>0.42509999999999998</v>
      </c>
    </row>
    <row r="38" spans="1:6" x14ac:dyDescent="0.25">
      <c r="A38" s="5">
        <v>42369</v>
      </c>
      <c r="B38" t="s">
        <v>20</v>
      </c>
      <c r="C38" s="1">
        <v>322843.14590027701</v>
      </c>
      <c r="D38" s="18">
        <v>18.746388400000004</v>
      </c>
      <c r="E38" s="18">
        <v>41.53</v>
      </c>
      <c r="F38" s="2">
        <v>0.39119999999999999</v>
      </c>
    </row>
    <row r="39" spans="1:6" x14ac:dyDescent="0.25">
      <c r="A39" s="5">
        <v>42369</v>
      </c>
      <c r="B39" t="s">
        <v>21</v>
      </c>
      <c r="C39" s="1">
        <v>311938.79907608702</v>
      </c>
      <c r="D39" s="18">
        <v>19.453210500000001</v>
      </c>
      <c r="E39" s="18">
        <v>42.56</v>
      </c>
      <c r="F39" s="2">
        <v>0.41220000000000001</v>
      </c>
    </row>
    <row r="40" spans="1:6" x14ac:dyDescent="0.25">
      <c r="A40" s="5">
        <v>42369</v>
      </c>
      <c r="B40" t="s">
        <v>25</v>
      </c>
      <c r="C40" s="1">
        <v>623649.478545864</v>
      </c>
      <c r="D40" s="18">
        <v>17.790802599999999</v>
      </c>
      <c r="E40" s="18">
        <v>42.15</v>
      </c>
      <c r="F40" s="2">
        <v>0.46560000000000001</v>
      </c>
    </row>
    <row r="41" spans="1:6" x14ac:dyDescent="0.25">
      <c r="A41" s="5">
        <v>42369</v>
      </c>
      <c r="B41" t="s">
        <v>35</v>
      </c>
      <c r="C41" s="1">
        <v>878255.11262672802</v>
      </c>
      <c r="D41" s="18">
        <v>18.2540154</v>
      </c>
      <c r="E41" s="18">
        <v>50.38</v>
      </c>
      <c r="F41" s="2">
        <v>0.43980000000000002</v>
      </c>
    </row>
    <row r="42" spans="1:6" x14ac:dyDescent="0.25">
      <c r="A42" s="5">
        <v>42369</v>
      </c>
      <c r="B42" t="s">
        <v>14</v>
      </c>
      <c r="C42" s="1">
        <v>358250.865551839</v>
      </c>
      <c r="D42" s="18">
        <v>17.907030599999999</v>
      </c>
      <c r="E42" s="18">
        <v>39.409999999999997</v>
      </c>
      <c r="F42" s="2">
        <v>0.43840000000000001</v>
      </c>
    </row>
    <row r="43" spans="1:6" x14ac:dyDescent="0.25">
      <c r="A43" s="5">
        <v>42369</v>
      </c>
      <c r="B43" t="s">
        <v>10</v>
      </c>
      <c r="C43" s="1">
        <v>541085.50010989001</v>
      </c>
      <c r="D43" s="18">
        <v>18.3147354</v>
      </c>
      <c r="E43" s="18">
        <v>44.9</v>
      </c>
      <c r="F43" s="2">
        <v>0.44409999999999999</v>
      </c>
    </row>
    <row r="44" spans="1:6" x14ac:dyDescent="0.25">
      <c r="A44" s="5">
        <v>42369</v>
      </c>
      <c r="B44" t="s">
        <v>60</v>
      </c>
      <c r="C44" s="1">
        <v>410157.15667355398</v>
      </c>
      <c r="D44" s="18">
        <v>18.587691499999998</v>
      </c>
      <c r="E44" s="18">
        <v>42.25</v>
      </c>
      <c r="F44" s="2">
        <v>0.4612</v>
      </c>
    </row>
    <row r="45" spans="1:6" x14ac:dyDescent="0.25">
      <c r="A45" s="5">
        <v>42369</v>
      </c>
      <c r="B45" t="s">
        <v>46</v>
      </c>
      <c r="C45" s="1">
        <v>385592.50906810001</v>
      </c>
      <c r="D45" s="18">
        <v>18.482351699999999</v>
      </c>
      <c r="E45" s="18">
        <v>42.73</v>
      </c>
      <c r="F45" s="2">
        <v>0.43339999999999995</v>
      </c>
    </row>
    <row r="46" spans="1:6" x14ac:dyDescent="0.25">
      <c r="A46" s="5">
        <v>42369</v>
      </c>
      <c r="B46" t="s">
        <v>29</v>
      </c>
      <c r="C46" s="1">
        <v>400430.08127999998</v>
      </c>
      <c r="D46" s="18">
        <v>17.109566300000001</v>
      </c>
      <c r="E46" s="18">
        <v>39.979999999999997</v>
      </c>
      <c r="F46" s="2">
        <v>0.41760000000000008</v>
      </c>
    </row>
    <row r="47" spans="1:6" x14ac:dyDescent="0.25">
      <c r="A47" s="5">
        <v>42369</v>
      </c>
      <c r="B47" t="s">
        <v>41</v>
      </c>
      <c r="C47" s="1">
        <v>347183.03282303398</v>
      </c>
      <c r="D47" s="18">
        <v>18.664476300000004</v>
      </c>
      <c r="E47" s="18">
        <v>40.1</v>
      </c>
      <c r="F47" s="2">
        <v>0.4405</v>
      </c>
    </row>
    <row r="48" spans="1:6" x14ac:dyDescent="0.25">
      <c r="A48" s="5">
        <v>42369</v>
      </c>
      <c r="B48" t="s">
        <v>19</v>
      </c>
      <c r="C48" s="1">
        <v>409395.36185923003</v>
      </c>
      <c r="D48" s="18">
        <v>18.437861900000001</v>
      </c>
      <c r="E48" s="18">
        <v>41.91</v>
      </c>
      <c r="F48" s="2">
        <v>0.43959999999999999</v>
      </c>
    </row>
    <row r="49" spans="1:6" x14ac:dyDescent="0.25">
      <c r="A49" s="5">
        <v>42369</v>
      </c>
      <c r="B49" t="s">
        <v>34</v>
      </c>
      <c r="C49" s="1">
        <v>510758.71102678601</v>
      </c>
      <c r="D49" s="18">
        <v>18.6769414</v>
      </c>
      <c r="E49" s="18">
        <v>45.6</v>
      </c>
      <c r="F49" s="2">
        <v>0.44609999999999994</v>
      </c>
    </row>
    <row r="50" spans="1:6" x14ac:dyDescent="0.25">
      <c r="A50" s="5">
        <v>42369</v>
      </c>
      <c r="B50" t="s">
        <v>61</v>
      </c>
      <c r="C50" s="1">
        <v>434747.30581730802</v>
      </c>
      <c r="D50" s="18">
        <v>18.266019</v>
      </c>
      <c r="E50" s="18">
        <v>43.24</v>
      </c>
      <c r="F50" s="2">
        <v>0.39639999999999997</v>
      </c>
    </row>
    <row r="51" spans="1:6" x14ac:dyDescent="0.25">
      <c r="A51" s="5">
        <v>42369</v>
      </c>
      <c r="B51" t="s">
        <v>31</v>
      </c>
      <c r="C51" s="1">
        <v>492928.03599069797</v>
      </c>
      <c r="D51" s="18">
        <v>17.3661447</v>
      </c>
      <c r="E51" s="18">
        <v>42.48</v>
      </c>
      <c r="F51" s="2">
        <v>0.42449999999999999</v>
      </c>
    </row>
    <row r="52" spans="1:6" x14ac:dyDescent="0.25">
      <c r="A52" s="5">
        <v>42369</v>
      </c>
      <c r="B52" t="s">
        <v>28</v>
      </c>
      <c r="C52" s="1">
        <v>451092.07668478298</v>
      </c>
      <c r="D52" s="18">
        <v>18.0082463</v>
      </c>
      <c r="E52" s="18">
        <v>43.8</v>
      </c>
      <c r="F52" s="2">
        <v>0.40880000000000005</v>
      </c>
    </row>
    <row r="53" spans="1:6" x14ac:dyDescent="0.25">
      <c r="A53" s="5">
        <v>42369</v>
      </c>
      <c r="B53" t="s">
        <v>26</v>
      </c>
      <c r="C53" s="1">
        <v>346973.27189749805</v>
      </c>
      <c r="D53" s="18">
        <v>18.929473900000001</v>
      </c>
      <c r="E53" s="18">
        <v>42.36</v>
      </c>
      <c r="F53" s="2">
        <v>0.41250000000000003</v>
      </c>
    </row>
    <row r="54" spans="1:6" x14ac:dyDescent="0.25">
      <c r="A54" s="5">
        <v>42369</v>
      </c>
      <c r="B54" t="s">
        <v>55</v>
      </c>
      <c r="C54" s="1">
        <v>513579.47593387502</v>
      </c>
      <c r="D54" s="18">
        <v>17.445035499999999</v>
      </c>
      <c r="E54" s="18">
        <v>41.04</v>
      </c>
      <c r="F54" s="2">
        <v>0.4587</v>
      </c>
    </row>
    <row r="55" spans="1:6" x14ac:dyDescent="0.25">
      <c r="A55" s="5">
        <v>42369</v>
      </c>
      <c r="B55" t="s">
        <v>38</v>
      </c>
      <c r="C55" s="1">
        <v>374365.149423077</v>
      </c>
      <c r="D55" s="18">
        <v>19.497179899999999</v>
      </c>
      <c r="E55" s="18">
        <v>43.89</v>
      </c>
      <c r="F55" s="2">
        <v>0.40550000000000003</v>
      </c>
    </row>
    <row r="56" spans="1:6" x14ac:dyDescent="0.25">
      <c r="A56" s="5">
        <v>42369</v>
      </c>
      <c r="B56" t="s">
        <v>48</v>
      </c>
      <c r="C56" s="1">
        <v>427868.00448807905</v>
      </c>
      <c r="D56" s="18">
        <v>17.8028908</v>
      </c>
      <c r="E56" s="18">
        <v>43.02</v>
      </c>
      <c r="F56" s="2">
        <v>0.45900000000000002</v>
      </c>
    </row>
    <row r="57" spans="1:6" x14ac:dyDescent="0.25">
      <c r="A57" s="5">
        <v>42369</v>
      </c>
      <c r="B57" t="s">
        <v>9</v>
      </c>
      <c r="C57" s="1">
        <v>381547.39004000003</v>
      </c>
      <c r="D57" s="18">
        <v>18.995056600000002</v>
      </c>
      <c r="E57" s="18">
        <v>42.55</v>
      </c>
      <c r="F57" s="2">
        <v>0.42049999999999998</v>
      </c>
    </row>
    <row r="58" spans="1:6" x14ac:dyDescent="0.25">
      <c r="A58" s="5">
        <v>42369</v>
      </c>
      <c r="B58" t="s">
        <v>13</v>
      </c>
      <c r="C58" s="1">
        <v>435002.61740267603</v>
      </c>
      <c r="D58" s="18">
        <v>18.591329200000001</v>
      </c>
      <c r="E58" s="18">
        <v>41.86</v>
      </c>
      <c r="F58" s="2">
        <v>0.41670000000000001</v>
      </c>
    </row>
    <row r="59" spans="1:6" x14ac:dyDescent="0.25">
      <c r="A59" s="5">
        <v>42369</v>
      </c>
      <c r="B59" t="s">
        <v>17</v>
      </c>
      <c r="C59" s="1">
        <v>593618.48252535495</v>
      </c>
      <c r="D59" s="18">
        <v>17.1233383</v>
      </c>
      <c r="E59" s="18">
        <v>44.09</v>
      </c>
      <c r="F59" s="2">
        <v>0.37569999999999998</v>
      </c>
    </row>
    <row r="60" spans="1:6" x14ac:dyDescent="0.25">
      <c r="A60" s="5">
        <v>42369</v>
      </c>
      <c r="B60" t="s">
        <v>6</v>
      </c>
      <c r="C60" s="1">
        <v>528281.56325062003</v>
      </c>
      <c r="D60" s="18">
        <v>18.101681200000002</v>
      </c>
      <c r="E60" s="18">
        <v>45.5</v>
      </c>
      <c r="F60" s="2">
        <v>0.42870000000000003</v>
      </c>
    </row>
    <row r="61" spans="1:6" x14ac:dyDescent="0.25">
      <c r="A61" s="5">
        <v>42369</v>
      </c>
      <c r="B61" t="s">
        <v>40</v>
      </c>
      <c r="C61" s="1">
        <v>323647.82902040798</v>
      </c>
      <c r="D61" s="18">
        <v>19.522088799999999</v>
      </c>
      <c r="E61" s="18">
        <v>44.79</v>
      </c>
      <c r="F61" s="2">
        <v>0.44619999999999999</v>
      </c>
    </row>
    <row r="62" spans="1:6" x14ac:dyDescent="0.25">
      <c r="A62" s="5">
        <v>42369</v>
      </c>
      <c r="B62" t="s">
        <v>5</v>
      </c>
      <c r="C62" s="1">
        <v>456248.14837333298</v>
      </c>
      <c r="D62" s="18">
        <v>18.247930400000001</v>
      </c>
      <c r="E62" s="18">
        <v>42.47</v>
      </c>
      <c r="F62" s="2">
        <v>0.43840000000000001</v>
      </c>
    </row>
    <row r="63" spans="1:6" x14ac:dyDescent="0.25">
      <c r="A63" s="5">
        <v>42369</v>
      </c>
      <c r="B63" t="s">
        <v>57</v>
      </c>
      <c r="C63" s="1">
        <v>270733.570187342</v>
      </c>
      <c r="D63" s="18">
        <v>18.493300699999999</v>
      </c>
      <c r="E63" s="18">
        <v>39.200000000000003</v>
      </c>
      <c r="F63" s="2">
        <v>0.4607</v>
      </c>
    </row>
    <row r="64" spans="1:6" x14ac:dyDescent="0.25">
      <c r="A64" s="5">
        <v>42369</v>
      </c>
      <c r="B64" t="s">
        <v>16</v>
      </c>
      <c r="C64" s="1">
        <v>360238.50580919901</v>
      </c>
      <c r="D64" s="18">
        <v>18.8388186</v>
      </c>
      <c r="E64" s="18">
        <v>39.64</v>
      </c>
      <c r="F64" s="2">
        <v>0.39960000000000001</v>
      </c>
    </row>
    <row r="65" spans="1:6" x14ac:dyDescent="0.25">
      <c r="A65" s="5">
        <v>42369</v>
      </c>
      <c r="B65" t="s">
        <v>27</v>
      </c>
      <c r="C65" s="1">
        <v>495210.58869280998</v>
      </c>
      <c r="D65" s="18">
        <v>17.7242806</v>
      </c>
      <c r="E65" s="18">
        <v>44.5</v>
      </c>
      <c r="F65" s="2">
        <v>0.43090000000000001</v>
      </c>
    </row>
    <row r="66" spans="1:6" x14ac:dyDescent="0.25">
      <c r="A66" s="5">
        <v>42369</v>
      </c>
      <c r="B66" t="s">
        <v>47</v>
      </c>
      <c r="C66" s="1">
        <v>489626.883519553</v>
      </c>
      <c r="D66" s="18">
        <v>17.930824399999999</v>
      </c>
      <c r="E66" s="18">
        <v>44.96</v>
      </c>
      <c r="F66" s="2">
        <v>0.40029999999999999</v>
      </c>
    </row>
    <row r="67" spans="1:6" x14ac:dyDescent="0.25">
      <c r="A67" s="5">
        <v>42369</v>
      </c>
      <c r="B67" t="s">
        <v>39</v>
      </c>
      <c r="C67" s="1">
        <v>371261.328309706</v>
      </c>
      <c r="D67" s="18">
        <v>18.371134399999999</v>
      </c>
      <c r="E67" s="18">
        <v>40.020000000000003</v>
      </c>
      <c r="F67" s="2">
        <v>0.42820000000000003</v>
      </c>
    </row>
    <row r="68" spans="1:6" x14ac:dyDescent="0.25">
      <c r="A68" s="5">
        <v>42369</v>
      </c>
      <c r="B68" t="s">
        <v>62</v>
      </c>
      <c r="C68" s="1">
        <v>421289.92610051401</v>
      </c>
      <c r="D68" s="18">
        <v>17.8862077</v>
      </c>
      <c r="E68" s="18">
        <v>41.29</v>
      </c>
      <c r="F68" s="2">
        <v>0.41870000000000007</v>
      </c>
    </row>
    <row r="69" spans="1:6" x14ac:dyDescent="0.25">
      <c r="A69" s="5">
        <v>42369</v>
      </c>
      <c r="B69" t="s">
        <v>56</v>
      </c>
      <c r="C69" s="1">
        <v>904528.47733333288</v>
      </c>
      <c r="D69" s="18">
        <v>18.608903699999999</v>
      </c>
      <c r="E69" s="18">
        <v>56.87</v>
      </c>
      <c r="F69" s="2">
        <v>0.44040000000000001</v>
      </c>
    </row>
    <row r="70" spans="1:6" x14ac:dyDescent="0.25">
      <c r="A70" s="5">
        <v>42369</v>
      </c>
      <c r="B70" t="s">
        <v>4</v>
      </c>
      <c r="C70" s="1">
        <v>348584.37231590197</v>
      </c>
      <c r="D70" s="18">
        <v>18.235315</v>
      </c>
      <c r="E70" s="18">
        <v>39.9</v>
      </c>
      <c r="F70" s="2">
        <v>0.41689999999999999</v>
      </c>
    </row>
    <row r="71" spans="1:6" x14ac:dyDescent="0.25">
      <c r="A71" s="5">
        <v>42369</v>
      </c>
      <c r="B71" t="s">
        <v>30</v>
      </c>
      <c r="C71" s="1">
        <v>419097.52405391401</v>
      </c>
      <c r="D71" s="18">
        <v>18.295420499999999</v>
      </c>
      <c r="E71" s="18">
        <v>42.530000000000008</v>
      </c>
      <c r="F71" s="2">
        <v>0.41930000000000001</v>
      </c>
    </row>
    <row r="72" spans="1:6" x14ac:dyDescent="0.25">
      <c r="A72" s="5">
        <v>42369</v>
      </c>
      <c r="B72" t="s">
        <v>59</v>
      </c>
      <c r="C72" s="1">
        <v>500788.361622222</v>
      </c>
      <c r="D72" s="18">
        <v>18.1076312</v>
      </c>
      <c r="E72" s="18">
        <v>45.360000000000007</v>
      </c>
      <c r="F72" s="2">
        <v>0.40110000000000001</v>
      </c>
    </row>
    <row r="73" spans="1:6" x14ac:dyDescent="0.25">
      <c r="A73" s="5">
        <v>42369</v>
      </c>
      <c r="B73" t="s">
        <v>63</v>
      </c>
      <c r="C73" s="1">
        <v>309379.97106910002</v>
      </c>
      <c r="D73" s="18">
        <v>18.375359799999998</v>
      </c>
      <c r="E73" s="18">
        <v>41.85</v>
      </c>
      <c r="F73" s="2">
        <v>0.49280000000000002</v>
      </c>
    </row>
    <row r="74" spans="1:6" x14ac:dyDescent="0.25">
      <c r="A74" s="5">
        <v>42369</v>
      </c>
      <c r="B74" t="s">
        <v>187</v>
      </c>
      <c r="C74" s="1">
        <v>725954.21362637402</v>
      </c>
      <c r="D74" s="18">
        <v>18.245531</v>
      </c>
      <c r="E74" s="18">
        <v>48.73</v>
      </c>
      <c r="F74" s="2">
        <v>0.49199999999999999</v>
      </c>
    </row>
    <row r="75" spans="1:6" x14ac:dyDescent="0.25">
      <c r="A75" s="5">
        <v>42369</v>
      </c>
      <c r="B75" t="s">
        <v>190</v>
      </c>
      <c r="C75" s="1">
        <v>606256.64166666695</v>
      </c>
      <c r="D75" s="18">
        <v>0</v>
      </c>
      <c r="E75" s="18">
        <v>0</v>
      </c>
      <c r="F75" s="2" t="e">
        <v>#DIV/0!</v>
      </c>
    </row>
    <row r="76" spans="1:6" x14ac:dyDescent="0.25">
      <c r="A76" s="5">
        <v>42369</v>
      </c>
      <c r="B76" t="s">
        <v>188</v>
      </c>
      <c r="C76" s="1">
        <v>650337.42734693899</v>
      </c>
      <c r="D76" s="18">
        <v>19.5182073</v>
      </c>
      <c r="E76" s="18">
        <v>48.91</v>
      </c>
      <c r="F76" s="2">
        <v>0.40969999999999995</v>
      </c>
    </row>
    <row r="77" spans="1:6" x14ac:dyDescent="0.25">
      <c r="A77" s="5">
        <v>42369</v>
      </c>
      <c r="B77" t="s">
        <v>189</v>
      </c>
      <c r="C77" s="1">
        <v>684838.73915254197</v>
      </c>
      <c r="D77" s="18">
        <v>18.596053300000001</v>
      </c>
      <c r="E77" s="18">
        <v>46.26</v>
      </c>
      <c r="F77" s="2">
        <v>0.41289999999999999</v>
      </c>
    </row>
    <row r="78" spans="1:6" x14ac:dyDescent="0.25">
      <c r="A78" s="5" t="s">
        <v>102</v>
      </c>
      <c r="C78" s="1">
        <v>463601.28167102649</v>
      </c>
      <c r="D78" s="18">
        <v>17.993032344948158</v>
      </c>
      <c r="E78" s="18">
        <v>42.375409184938192</v>
      </c>
      <c r="F78" s="2">
        <v>0.44153061503538932</v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pivt_Pivot_Misc_MAC_On">
                <anchor moveWithCells="1" sizeWithCells="1">
                  <from>
                    <xdr:col>18</xdr:col>
                    <xdr:colOff>209550</xdr:colOff>
                    <xdr:row>11</xdr:row>
                    <xdr:rowOff>85725</xdr:rowOff>
                  </from>
                  <to>
                    <xdr:col>19</xdr:col>
                    <xdr:colOff>628650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pivt_Pivot_Misc_MAC_Off">
                <anchor moveWithCells="1" sizeWithCells="1">
                  <from>
                    <xdr:col>18</xdr:col>
                    <xdr:colOff>209550</xdr:colOff>
                    <xdr:row>12</xdr:row>
                    <xdr:rowOff>228600</xdr:rowOff>
                  </from>
                  <to>
                    <xdr:col>19</xdr:col>
                    <xdr:colOff>628650</xdr:colOff>
                    <xdr:row>12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tabColor rgb="FF0070C0"/>
  </sheetPr>
  <dimension ref="A1:AL61"/>
  <sheetViews>
    <sheetView showGridLines="0" zoomScale="85" zoomScaleNormal="85" workbookViewId="0">
      <pane ySplit="3" topLeftCell="A4" activePane="bottomLeft" state="frozen"/>
      <selection pane="bottomLeft" activeCell="J1" sqref="J1"/>
    </sheetView>
  </sheetViews>
  <sheetFormatPr defaultRowHeight="15" x14ac:dyDescent="0.25"/>
  <cols>
    <col min="1" max="1" width="10.28515625" customWidth="1"/>
    <col min="2" max="3" width="10.28515625" bestFit="1" customWidth="1"/>
    <col min="35" max="35" width="18.28515625" customWidth="1"/>
    <col min="36" max="37" width="27" bestFit="1" customWidth="1"/>
    <col min="38" max="38" width="35.5703125" bestFit="1" customWidth="1"/>
  </cols>
  <sheetData>
    <row r="1" spans="1:38" x14ac:dyDescent="0.25">
      <c r="A1" s="37" t="s">
        <v>82</v>
      </c>
      <c r="B1" s="38"/>
      <c r="AI1" t="s">
        <v>0</v>
      </c>
      <c r="AJ1" t="s">
        <v>170</v>
      </c>
      <c r="AK1" t="s">
        <v>170</v>
      </c>
      <c r="AL1" t="s">
        <v>171</v>
      </c>
    </row>
    <row r="2" spans="1:38" x14ac:dyDescent="0.25">
      <c r="A2" s="8" t="s">
        <v>83</v>
      </c>
      <c r="B2" s="8" t="s">
        <v>84</v>
      </c>
      <c r="AI2" t="s">
        <v>49</v>
      </c>
      <c r="AJ2" s="3">
        <f>SUMIFS(tPanel_Export[VKASKO_PENET_SHT],tPanel_Export[MAK],$AI2,tPanel_Export[DATE_FROM],"&gt;="&amp;$A$3,tPanel_Export[DATE_TO],"&lt;="&amp;$B$3)+SUMIFS(tPanel_Export[MKASKO_PENET_SHT],tPanel_Export[MAK],$AI2,tPanel_Export[DATE_FROM],"&gt;="&amp;$A$3,tPanel_Export[DATE_TO],"&lt;="&amp;$B$3)+SUMIFS(tPanel_Export[SJ_PENET_SHT],tPanel_Export[MAK],$AI2,tPanel_Export[DATE_FROM],"&gt;="&amp;$A$3,tPanel_Export[DATE_TO],"&lt;="&amp;$B$3)+SUMIFS(tPanel_Export[DKASKO_PENET_SHT],tPanel_Export[MAK],$AI2,tPanel_Export[DATE_FROM],"&gt;="&amp;$A$3,tPanel_Export[DATE_TO],"&lt;="&amp;$B$3)+SUMIFS(tPanel_Export[RAMK_PENET_SHT],tPanel_Export[MAK],$AI2,tPanel_Export[DATE_FROM],"&gt;="&amp;$A$3,tPanel_Export[DATE_TO],"&lt;="&amp;$B$3)+SUMIFS(tPanel_Export[AVL_PENET_SHT],tPanel_Export[MAK],$AI2,tPanel_Export[DATE_FROM],"&gt;="&amp;$A$3,tPanel_Export[DATE_TO],"&lt;="&amp;$B$3)</f>
        <v>0.90715099999999993</v>
      </c>
      <c r="AK2" s="27">
        <f>AJ2</f>
        <v>0.90715099999999993</v>
      </c>
      <c r="AL2" s="27">
        <f>AVERAGE($AK$2:$AK$61)</f>
        <v>0.73906663333333322</v>
      </c>
    </row>
    <row r="3" spans="1:38" x14ac:dyDescent="0.25">
      <c r="A3" s="7">
        <v>42005</v>
      </c>
      <c r="B3" s="7">
        <v>42369</v>
      </c>
      <c r="AI3" t="s">
        <v>10</v>
      </c>
      <c r="AJ3" s="3">
        <f>SUMIFS(tPanel_Export[VKASKO_PENET_SHT],tPanel_Export[MAK],$AI3,tPanel_Export[DATE_FROM],"&gt;="&amp;$A$3,tPanel_Export[DATE_TO],"&lt;="&amp;$B$3)+SUMIFS(tPanel_Export[MKASKO_PENET_SHT],tPanel_Export[MAK],$AI3,tPanel_Export[DATE_FROM],"&gt;="&amp;$A$3,tPanel_Export[DATE_TO],"&lt;="&amp;$B$3)+SUMIFS(tPanel_Export[SJ_PENET_SHT],tPanel_Export[MAK],$AI3,tPanel_Export[DATE_FROM],"&gt;="&amp;$A$3,tPanel_Export[DATE_TO],"&lt;="&amp;$B$3)+SUMIFS(tPanel_Export[DKASKO_PENET_SHT],tPanel_Export[MAK],$AI3,tPanel_Export[DATE_FROM],"&gt;="&amp;$A$3,tPanel_Export[DATE_TO],"&lt;="&amp;$B$3)+SUMIFS(tPanel_Export[RAMK_PENET_SHT],tPanel_Export[MAK],$AI3,tPanel_Export[DATE_FROM],"&gt;="&amp;$A$3,tPanel_Export[DATE_TO],"&lt;="&amp;$B$3)+SUMIFS(tPanel_Export[AVL_PENET_SHT],tPanel_Export[MAK],$AI3,tPanel_Export[DATE_FROM],"&gt;="&amp;$A$3,tPanel_Export[DATE_TO],"&lt;="&amp;$B$3)</f>
        <v>0.89010999999999996</v>
      </c>
      <c r="AK3" s="27">
        <f>AJ3</f>
        <v>0.89010999999999996</v>
      </c>
      <c r="AL3" s="27">
        <f>AVERAGE($AK$2:$AK$61)</f>
        <v>0.73906663333333322</v>
      </c>
    </row>
    <row r="4" spans="1:38" x14ac:dyDescent="0.25">
      <c r="AI4" t="s">
        <v>58</v>
      </c>
      <c r="AJ4" s="3">
        <f>SUMIFS(tPanel_Export[VKASKO_PENET_SHT],tPanel_Export[MAK],$AI4,tPanel_Export[DATE_FROM],"&gt;="&amp;$A$3,tPanel_Export[DATE_TO],"&lt;="&amp;$B$3)+SUMIFS(tPanel_Export[MKASKO_PENET_SHT],tPanel_Export[MAK],$AI4,tPanel_Export[DATE_FROM],"&gt;="&amp;$A$3,tPanel_Export[DATE_TO],"&lt;="&amp;$B$3)+SUMIFS(tPanel_Export[SJ_PENET_SHT],tPanel_Export[MAK],$AI4,tPanel_Export[DATE_FROM],"&gt;="&amp;$A$3,tPanel_Export[DATE_TO],"&lt;="&amp;$B$3)+SUMIFS(tPanel_Export[DKASKO_PENET_SHT],tPanel_Export[MAK],$AI4,tPanel_Export[DATE_FROM],"&gt;="&amp;$A$3,tPanel_Export[DATE_TO],"&lt;="&amp;$B$3)+SUMIFS(tPanel_Export[RAMK_PENET_SHT],tPanel_Export[MAK],$AI4,tPanel_Export[DATE_FROM],"&gt;="&amp;$A$3,tPanel_Export[DATE_TO],"&lt;="&amp;$B$3)+SUMIFS(tPanel_Export[AVL_PENET_SHT],tPanel_Export[MAK],$AI4,tPanel_Export[DATE_FROM],"&gt;="&amp;$A$3,tPanel_Export[DATE_TO],"&lt;="&amp;$B$3)</f>
        <v>0.85167599999999999</v>
      </c>
      <c r="AK4" s="27">
        <f>AJ4</f>
        <v>0.85167599999999999</v>
      </c>
      <c r="AL4" s="27">
        <f>AVERAGE($AK$2:$AK$61)</f>
        <v>0.73906663333333322</v>
      </c>
    </row>
    <row r="5" spans="1:38" x14ac:dyDescent="0.25">
      <c r="AI5" t="s">
        <v>4</v>
      </c>
      <c r="AJ5" s="3">
        <f>SUMIFS(tPanel_Export[VKASKO_PENET_SHT],tPanel_Export[MAK],$AI5,tPanel_Export[DATE_FROM],"&gt;="&amp;$A$3,tPanel_Export[DATE_TO],"&lt;="&amp;$B$3)+SUMIFS(tPanel_Export[MKASKO_PENET_SHT],tPanel_Export[MAK],$AI5,tPanel_Export[DATE_FROM],"&gt;="&amp;$A$3,tPanel_Export[DATE_TO],"&lt;="&amp;$B$3)+SUMIFS(tPanel_Export[SJ_PENET_SHT],tPanel_Export[MAK],$AI5,tPanel_Export[DATE_FROM],"&gt;="&amp;$A$3,tPanel_Export[DATE_TO],"&lt;="&amp;$B$3)+SUMIFS(tPanel_Export[DKASKO_PENET_SHT],tPanel_Export[MAK],$AI5,tPanel_Export[DATE_FROM],"&gt;="&amp;$A$3,tPanel_Export[DATE_TO],"&lt;="&amp;$B$3)+SUMIFS(tPanel_Export[RAMK_PENET_SHT],tPanel_Export[MAK],$AI5,tPanel_Export[DATE_FROM],"&gt;="&amp;$A$3,tPanel_Export[DATE_TO],"&lt;="&amp;$B$3)+SUMIFS(tPanel_Export[AVL_PENET_SHT],tPanel_Export[MAK],$AI5,tPanel_Export[DATE_FROM],"&gt;="&amp;$A$3,tPanel_Export[DATE_TO],"&lt;="&amp;$B$3)</f>
        <v>0.84098200000000001</v>
      </c>
      <c r="AK5" s="27">
        <f>AJ5</f>
        <v>0.84098200000000001</v>
      </c>
      <c r="AL5" s="27">
        <f>AVERAGE($AK$2:$AK$61)</f>
        <v>0.73906663333333322</v>
      </c>
    </row>
    <row r="6" spans="1:38" x14ac:dyDescent="0.25">
      <c r="AI6" t="s">
        <v>62</v>
      </c>
      <c r="AJ6" s="3">
        <f>SUMIFS(tPanel_Export[VKASKO_PENET_SHT],tPanel_Export[MAK],$AI6,tPanel_Export[DATE_FROM],"&gt;="&amp;$A$3,tPanel_Export[DATE_TO],"&lt;="&amp;$B$3)+SUMIFS(tPanel_Export[MKASKO_PENET_SHT],tPanel_Export[MAK],$AI6,tPanel_Export[DATE_FROM],"&gt;="&amp;$A$3,tPanel_Export[DATE_TO],"&lt;="&amp;$B$3)+SUMIFS(tPanel_Export[SJ_PENET_SHT],tPanel_Export[MAK],$AI6,tPanel_Export[DATE_FROM],"&gt;="&amp;$A$3,tPanel_Export[DATE_TO],"&lt;="&amp;$B$3)+SUMIFS(tPanel_Export[DKASKO_PENET_SHT],tPanel_Export[MAK],$AI6,tPanel_Export[DATE_FROM],"&gt;="&amp;$A$3,tPanel_Export[DATE_TO],"&lt;="&amp;$B$3)+SUMIFS(tPanel_Export[RAMK_PENET_SHT],tPanel_Export[MAK],$AI6,tPanel_Export[DATE_FROM],"&gt;="&amp;$A$3,tPanel_Export[DATE_TO],"&lt;="&amp;$B$3)+SUMIFS(tPanel_Export[AVL_PENET_SHT],tPanel_Export[MAK],$AI6,tPanel_Export[DATE_FROM],"&gt;="&amp;$A$3,tPanel_Export[DATE_TO],"&lt;="&amp;$B$3)</f>
        <v>0.83591599999999999</v>
      </c>
      <c r="AK6" s="27">
        <f>AJ6</f>
        <v>0.83591599999999999</v>
      </c>
      <c r="AL6" s="27">
        <f>AVERAGE($AK$2:$AK$61)</f>
        <v>0.73906663333333322</v>
      </c>
    </row>
    <row r="7" spans="1:38" x14ac:dyDescent="0.25">
      <c r="AI7" t="s">
        <v>48</v>
      </c>
      <c r="AJ7" s="3">
        <f>SUMIFS(tPanel_Export[VKASKO_PENET_SHT],tPanel_Export[MAK],$AI7,tPanel_Export[DATE_FROM],"&gt;="&amp;$A$3,tPanel_Export[DATE_TO],"&lt;="&amp;$B$3)+SUMIFS(tPanel_Export[MKASKO_PENET_SHT],tPanel_Export[MAK],$AI7,tPanel_Export[DATE_FROM],"&gt;="&amp;$A$3,tPanel_Export[DATE_TO],"&lt;="&amp;$B$3)+SUMIFS(tPanel_Export[SJ_PENET_SHT],tPanel_Export[MAK],$AI7,tPanel_Export[DATE_FROM],"&gt;="&amp;$A$3,tPanel_Export[DATE_TO],"&lt;="&amp;$B$3)+SUMIFS(tPanel_Export[DKASKO_PENET_SHT],tPanel_Export[MAK],$AI7,tPanel_Export[DATE_FROM],"&gt;="&amp;$A$3,tPanel_Export[DATE_TO],"&lt;="&amp;$B$3)+SUMIFS(tPanel_Export[RAMK_PENET_SHT],tPanel_Export[MAK],$AI7,tPanel_Export[DATE_FROM],"&gt;="&amp;$A$3,tPanel_Export[DATE_TO],"&lt;="&amp;$B$3)+SUMIFS(tPanel_Export[AVL_PENET_SHT],tPanel_Export[MAK],$AI7,tPanel_Export[DATE_FROM],"&gt;="&amp;$A$3,tPanel_Export[DATE_TO],"&lt;="&amp;$B$3)</f>
        <v>0.83518799999999993</v>
      </c>
      <c r="AK7" s="27">
        <f>AJ7</f>
        <v>0.83518799999999993</v>
      </c>
      <c r="AL7" s="27">
        <f>AVERAGE($AK$2:$AK$61)</f>
        <v>0.73906663333333322</v>
      </c>
    </row>
    <row r="8" spans="1:38" x14ac:dyDescent="0.25">
      <c r="AI8" t="s">
        <v>55</v>
      </c>
      <c r="AJ8" s="3">
        <f>SUMIFS(tPanel_Export[VKASKO_PENET_SHT],tPanel_Export[MAK],$AI8,tPanel_Export[DATE_FROM],"&gt;="&amp;$A$3,tPanel_Export[DATE_TO],"&lt;="&amp;$B$3)+SUMIFS(tPanel_Export[MKASKO_PENET_SHT],tPanel_Export[MAK],$AI8,tPanel_Export[DATE_FROM],"&gt;="&amp;$A$3,tPanel_Export[DATE_TO],"&lt;="&amp;$B$3)+SUMIFS(tPanel_Export[SJ_PENET_SHT],tPanel_Export[MAK],$AI8,tPanel_Export[DATE_FROM],"&gt;="&amp;$A$3,tPanel_Export[DATE_TO],"&lt;="&amp;$B$3)+SUMIFS(tPanel_Export[DKASKO_PENET_SHT],tPanel_Export[MAK],$AI8,tPanel_Export[DATE_FROM],"&gt;="&amp;$A$3,tPanel_Export[DATE_TO],"&lt;="&amp;$B$3)+SUMIFS(tPanel_Export[RAMK_PENET_SHT],tPanel_Export[MAK],$AI8,tPanel_Export[DATE_FROM],"&gt;="&amp;$A$3,tPanel_Export[DATE_TO],"&lt;="&amp;$B$3)+SUMIFS(tPanel_Export[AVL_PENET_SHT],tPanel_Export[MAK],$AI8,tPanel_Export[DATE_FROM],"&gt;="&amp;$A$3,tPanel_Export[DATE_TO],"&lt;="&amp;$B$3)</f>
        <v>0.826264</v>
      </c>
      <c r="AK8" s="27">
        <f>AJ8</f>
        <v>0.826264</v>
      </c>
      <c r="AL8" s="27">
        <f>AVERAGE($AK$2:$AK$61)</f>
        <v>0.73906663333333322</v>
      </c>
    </row>
    <row r="9" spans="1:38" x14ac:dyDescent="0.25">
      <c r="AI9" t="s">
        <v>44</v>
      </c>
      <c r="AJ9" s="3">
        <f>SUMIFS(tPanel_Export[VKASKO_PENET_SHT],tPanel_Export[MAK],$AI9,tPanel_Export[DATE_FROM],"&gt;="&amp;$A$3,tPanel_Export[DATE_TO],"&lt;="&amp;$B$3)+SUMIFS(tPanel_Export[MKASKO_PENET_SHT],tPanel_Export[MAK],$AI9,tPanel_Export[DATE_FROM],"&gt;="&amp;$A$3,tPanel_Export[DATE_TO],"&lt;="&amp;$B$3)+SUMIFS(tPanel_Export[SJ_PENET_SHT],tPanel_Export[MAK],$AI9,tPanel_Export[DATE_FROM],"&gt;="&amp;$A$3,tPanel_Export[DATE_TO],"&lt;="&amp;$B$3)+SUMIFS(tPanel_Export[DKASKO_PENET_SHT],tPanel_Export[MAK],$AI9,tPanel_Export[DATE_FROM],"&gt;="&amp;$A$3,tPanel_Export[DATE_TO],"&lt;="&amp;$B$3)+SUMIFS(tPanel_Export[RAMK_PENET_SHT],tPanel_Export[MAK],$AI9,tPanel_Export[DATE_FROM],"&gt;="&amp;$A$3,tPanel_Export[DATE_TO],"&lt;="&amp;$B$3)+SUMIFS(tPanel_Export[AVL_PENET_SHT],tPanel_Export[MAK],$AI9,tPanel_Export[DATE_FROM],"&gt;="&amp;$A$3,tPanel_Export[DATE_TO],"&lt;="&amp;$B$3)</f>
        <v>0.82357999999999998</v>
      </c>
      <c r="AK9" s="27">
        <f>AJ9</f>
        <v>0.82357999999999998</v>
      </c>
      <c r="AL9" s="27">
        <f>AVERAGE($AK$2:$AK$61)</f>
        <v>0.73906663333333322</v>
      </c>
    </row>
    <row r="10" spans="1:38" x14ac:dyDescent="0.25">
      <c r="AI10" t="s">
        <v>31</v>
      </c>
      <c r="AJ10" s="3">
        <f>SUMIFS(tPanel_Export[VKASKO_PENET_SHT],tPanel_Export[MAK],$AI10,tPanel_Export[DATE_FROM],"&gt;="&amp;$A$3,tPanel_Export[DATE_TO],"&lt;="&amp;$B$3)+SUMIFS(tPanel_Export[MKASKO_PENET_SHT],tPanel_Export[MAK],$AI10,tPanel_Export[DATE_FROM],"&gt;="&amp;$A$3,tPanel_Export[DATE_TO],"&lt;="&amp;$B$3)+SUMIFS(tPanel_Export[SJ_PENET_SHT],tPanel_Export[MAK],$AI10,tPanel_Export[DATE_FROM],"&gt;="&amp;$A$3,tPanel_Export[DATE_TO],"&lt;="&amp;$B$3)+SUMIFS(tPanel_Export[DKASKO_PENET_SHT],tPanel_Export[MAK],$AI10,tPanel_Export[DATE_FROM],"&gt;="&amp;$A$3,tPanel_Export[DATE_TO],"&lt;="&amp;$B$3)+SUMIFS(tPanel_Export[RAMK_PENET_SHT],tPanel_Export[MAK],$AI10,tPanel_Export[DATE_FROM],"&gt;="&amp;$A$3,tPanel_Export[DATE_TO],"&lt;="&amp;$B$3)+SUMIFS(tPanel_Export[AVL_PENET_SHT],tPanel_Export[MAK],$AI10,tPanel_Export[DATE_FROM],"&gt;="&amp;$A$3,tPanel_Export[DATE_TO],"&lt;="&amp;$B$3)</f>
        <v>0.81977199999999995</v>
      </c>
      <c r="AK10" s="27">
        <f>AJ10</f>
        <v>0.81977199999999995</v>
      </c>
      <c r="AL10" s="27">
        <f>AVERAGE($AK$2:$AK$61)</f>
        <v>0.73906663333333322</v>
      </c>
    </row>
    <row r="11" spans="1:38" x14ac:dyDescent="0.25">
      <c r="AI11" t="s">
        <v>22</v>
      </c>
      <c r="AJ11" s="3">
        <f>SUMIFS(tPanel_Export[VKASKO_PENET_SHT],tPanel_Export[MAK],$AI11,tPanel_Export[DATE_FROM],"&gt;="&amp;$A$3,tPanel_Export[DATE_TO],"&lt;="&amp;$B$3)+SUMIFS(tPanel_Export[MKASKO_PENET_SHT],tPanel_Export[MAK],$AI11,tPanel_Export[DATE_FROM],"&gt;="&amp;$A$3,tPanel_Export[DATE_TO],"&lt;="&amp;$B$3)+SUMIFS(tPanel_Export[SJ_PENET_SHT],tPanel_Export[MAK],$AI11,tPanel_Export[DATE_FROM],"&gt;="&amp;$A$3,tPanel_Export[DATE_TO],"&lt;="&amp;$B$3)+SUMIFS(tPanel_Export[DKASKO_PENET_SHT],tPanel_Export[MAK],$AI11,tPanel_Export[DATE_FROM],"&gt;="&amp;$A$3,tPanel_Export[DATE_TO],"&lt;="&amp;$B$3)+SUMIFS(tPanel_Export[RAMK_PENET_SHT],tPanel_Export[MAK],$AI11,tPanel_Export[DATE_FROM],"&gt;="&amp;$A$3,tPanel_Export[DATE_TO],"&lt;="&amp;$B$3)+SUMIFS(tPanel_Export[AVL_PENET_SHT],tPanel_Export[MAK],$AI11,tPanel_Export[DATE_FROM],"&gt;="&amp;$A$3,tPanel_Export[DATE_TO],"&lt;="&amp;$B$3)</f>
        <v>0.80701800000000001</v>
      </c>
      <c r="AK11" s="27">
        <f>AJ11</f>
        <v>0.80701800000000001</v>
      </c>
      <c r="AL11" s="27">
        <f>AVERAGE($AK$2:$AK$61)</f>
        <v>0.73906663333333322</v>
      </c>
    </row>
    <row r="12" spans="1:38" x14ac:dyDescent="0.25">
      <c r="AI12" t="s">
        <v>13</v>
      </c>
      <c r="AJ12" s="3">
        <f>SUMIFS(tPanel_Export[VKASKO_PENET_SHT],tPanel_Export[MAK],$AI12,tPanel_Export[DATE_FROM],"&gt;="&amp;$A$3,tPanel_Export[DATE_TO],"&lt;="&amp;$B$3)+SUMIFS(tPanel_Export[MKASKO_PENET_SHT],tPanel_Export[MAK],$AI12,tPanel_Export[DATE_FROM],"&gt;="&amp;$A$3,tPanel_Export[DATE_TO],"&lt;="&amp;$B$3)+SUMIFS(tPanel_Export[SJ_PENET_SHT],tPanel_Export[MAK],$AI12,tPanel_Export[DATE_FROM],"&gt;="&amp;$A$3,tPanel_Export[DATE_TO],"&lt;="&amp;$B$3)+SUMIFS(tPanel_Export[DKASKO_PENET_SHT],tPanel_Export[MAK],$AI12,tPanel_Export[DATE_FROM],"&gt;="&amp;$A$3,tPanel_Export[DATE_TO],"&lt;="&amp;$B$3)+SUMIFS(tPanel_Export[RAMK_PENET_SHT],tPanel_Export[MAK],$AI12,tPanel_Export[DATE_FROM],"&gt;="&amp;$A$3,tPanel_Export[DATE_TO],"&lt;="&amp;$B$3)+SUMIFS(tPanel_Export[AVL_PENET_SHT],tPanel_Export[MAK],$AI12,tPanel_Export[DATE_FROM],"&gt;="&amp;$A$3,tPanel_Export[DATE_TO],"&lt;="&amp;$B$3)</f>
        <v>0.80698099999999995</v>
      </c>
      <c r="AK12" s="27">
        <f>AJ12</f>
        <v>0.80698099999999995</v>
      </c>
      <c r="AL12" s="27">
        <f>AVERAGE($AK$2:$AK$61)</f>
        <v>0.73906663333333322</v>
      </c>
    </row>
    <row r="13" spans="1:38" x14ac:dyDescent="0.25">
      <c r="AI13" t="s">
        <v>24</v>
      </c>
      <c r="AJ13" s="3">
        <f>SUMIFS(tPanel_Export[VKASKO_PENET_SHT],tPanel_Export[MAK],$AI13,tPanel_Export[DATE_FROM],"&gt;="&amp;$A$3,tPanel_Export[DATE_TO],"&lt;="&amp;$B$3)+SUMIFS(tPanel_Export[MKASKO_PENET_SHT],tPanel_Export[MAK],$AI13,tPanel_Export[DATE_FROM],"&gt;="&amp;$A$3,tPanel_Export[DATE_TO],"&lt;="&amp;$B$3)+SUMIFS(tPanel_Export[SJ_PENET_SHT],tPanel_Export[MAK],$AI13,tPanel_Export[DATE_FROM],"&gt;="&amp;$A$3,tPanel_Export[DATE_TO],"&lt;="&amp;$B$3)+SUMIFS(tPanel_Export[DKASKO_PENET_SHT],tPanel_Export[MAK],$AI13,tPanel_Export[DATE_FROM],"&gt;="&amp;$A$3,tPanel_Export[DATE_TO],"&lt;="&amp;$B$3)+SUMIFS(tPanel_Export[RAMK_PENET_SHT],tPanel_Export[MAK],$AI13,tPanel_Export[DATE_FROM],"&gt;="&amp;$A$3,tPanel_Export[DATE_TO],"&lt;="&amp;$B$3)+SUMIFS(tPanel_Export[AVL_PENET_SHT],tPanel_Export[MAK],$AI13,tPanel_Export[DATE_FROM],"&gt;="&amp;$A$3,tPanel_Export[DATE_TO],"&lt;="&amp;$B$3)</f>
        <v>0.79908499999999993</v>
      </c>
      <c r="AK13" s="27">
        <f>AJ13</f>
        <v>0.79908499999999993</v>
      </c>
      <c r="AL13" s="27">
        <f>AVERAGE($AK$2:$AK$61)</f>
        <v>0.73906663333333322</v>
      </c>
    </row>
    <row r="14" spans="1:38" x14ac:dyDescent="0.25">
      <c r="AI14" t="s">
        <v>20</v>
      </c>
      <c r="AJ14" s="3">
        <f>SUMIFS(tPanel_Export[VKASKO_PENET_SHT],tPanel_Export[MAK],$AI14,tPanel_Export[DATE_FROM],"&gt;="&amp;$A$3,tPanel_Export[DATE_TO],"&lt;="&amp;$B$3)+SUMIFS(tPanel_Export[MKASKO_PENET_SHT],tPanel_Export[MAK],$AI14,tPanel_Export[DATE_FROM],"&gt;="&amp;$A$3,tPanel_Export[DATE_TO],"&lt;="&amp;$B$3)+SUMIFS(tPanel_Export[SJ_PENET_SHT],tPanel_Export[MAK],$AI14,tPanel_Export[DATE_FROM],"&gt;="&amp;$A$3,tPanel_Export[DATE_TO],"&lt;="&amp;$B$3)+SUMIFS(tPanel_Export[DKASKO_PENET_SHT],tPanel_Export[MAK],$AI14,tPanel_Export[DATE_FROM],"&gt;="&amp;$A$3,tPanel_Export[DATE_TO],"&lt;="&amp;$B$3)+SUMIFS(tPanel_Export[RAMK_PENET_SHT],tPanel_Export[MAK],$AI14,tPanel_Export[DATE_FROM],"&gt;="&amp;$A$3,tPanel_Export[DATE_TO],"&lt;="&amp;$B$3)+SUMIFS(tPanel_Export[AVL_PENET_SHT],tPanel_Export[MAK],$AI14,tPanel_Export[DATE_FROM],"&gt;="&amp;$A$3,tPanel_Export[DATE_TO],"&lt;="&amp;$B$3)</f>
        <v>0.79778400000000005</v>
      </c>
      <c r="AK14" s="27">
        <f>AJ14</f>
        <v>0.79778400000000005</v>
      </c>
      <c r="AL14" s="27">
        <f>AVERAGE($AK$2:$AK$61)</f>
        <v>0.73906663333333322</v>
      </c>
    </row>
    <row r="15" spans="1:38" x14ac:dyDescent="0.25">
      <c r="AI15" t="s">
        <v>14</v>
      </c>
      <c r="AJ15" s="3">
        <f>SUMIFS(tPanel_Export[VKASKO_PENET_SHT],tPanel_Export[MAK],$AI15,tPanel_Export[DATE_FROM],"&gt;="&amp;$A$3,tPanel_Export[DATE_TO],"&lt;="&amp;$B$3)+SUMIFS(tPanel_Export[MKASKO_PENET_SHT],tPanel_Export[MAK],$AI15,tPanel_Export[DATE_FROM],"&gt;="&amp;$A$3,tPanel_Export[DATE_TO],"&lt;="&amp;$B$3)+SUMIFS(tPanel_Export[SJ_PENET_SHT],tPanel_Export[MAK],$AI15,tPanel_Export[DATE_FROM],"&gt;="&amp;$A$3,tPanel_Export[DATE_TO],"&lt;="&amp;$B$3)+SUMIFS(tPanel_Export[DKASKO_PENET_SHT],tPanel_Export[MAK],$AI15,tPanel_Export[DATE_FROM],"&gt;="&amp;$A$3,tPanel_Export[DATE_TO],"&lt;="&amp;$B$3)+SUMIFS(tPanel_Export[RAMK_PENET_SHT],tPanel_Export[MAK],$AI15,tPanel_Export[DATE_FROM],"&gt;="&amp;$A$3,tPanel_Export[DATE_TO],"&lt;="&amp;$B$3)+SUMIFS(tPanel_Export[AVL_PENET_SHT],tPanel_Export[MAK],$AI15,tPanel_Export[DATE_FROM],"&gt;="&amp;$A$3,tPanel_Export[DATE_TO],"&lt;="&amp;$B$3)</f>
        <v>0.79630800000000002</v>
      </c>
      <c r="AK15" s="27">
        <f>AJ15</f>
        <v>0.79630800000000002</v>
      </c>
      <c r="AL15" s="27">
        <f>AVERAGE($AK$2:$AK$61)</f>
        <v>0.73906663333333322</v>
      </c>
    </row>
    <row r="16" spans="1:38" x14ac:dyDescent="0.25">
      <c r="AI16" t="s">
        <v>26</v>
      </c>
      <c r="AJ16" s="3">
        <f>SUMIFS(tPanel_Export[VKASKO_PENET_SHT],tPanel_Export[MAK],$AI16,tPanel_Export[DATE_FROM],"&gt;="&amp;$A$3,tPanel_Export[DATE_TO],"&lt;="&amp;$B$3)+SUMIFS(tPanel_Export[MKASKO_PENET_SHT],tPanel_Export[MAK],$AI16,tPanel_Export[DATE_FROM],"&gt;="&amp;$A$3,tPanel_Export[DATE_TO],"&lt;="&amp;$B$3)+SUMIFS(tPanel_Export[SJ_PENET_SHT],tPanel_Export[MAK],$AI16,tPanel_Export[DATE_FROM],"&gt;="&amp;$A$3,tPanel_Export[DATE_TO],"&lt;="&amp;$B$3)+SUMIFS(tPanel_Export[DKASKO_PENET_SHT],tPanel_Export[MAK],$AI16,tPanel_Export[DATE_FROM],"&gt;="&amp;$A$3,tPanel_Export[DATE_TO],"&lt;="&amp;$B$3)+SUMIFS(tPanel_Export[RAMK_PENET_SHT],tPanel_Export[MAK],$AI16,tPanel_Export[DATE_FROM],"&gt;="&amp;$A$3,tPanel_Export[DATE_TO],"&lt;="&amp;$B$3)+SUMIFS(tPanel_Export[AVL_PENET_SHT],tPanel_Export[MAK],$AI16,tPanel_Export[DATE_FROM],"&gt;="&amp;$A$3,tPanel_Export[DATE_TO],"&lt;="&amp;$B$3)</f>
        <v>0.79011600000000004</v>
      </c>
      <c r="AK16" s="27">
        <f>AJ16</f>
        <v>0.79011600000000004</v>
      </c>
      <c r="AL16" s="27">
        <f>AVERAGE($AK$2:$AK$61)</f>
        <v>0.73906663333333322</v>
      </c>
    </row>
    <row r="17" spans="35:38" x14ac:dyDescent="0.25">
      <c r="AI17" t="s">
        <v>7</v>
      </c>
      <c r="AJ17" s="3">
        <f>SUMIFS(tPanel_Export[VKASKO_PENET_SHT],tPanel_Export[MAK],$AI17,tPanel_Export[DATE_FROM],"&gt;="&amp;$A$3,tPanel_Export[DATE_TO],"&lt;="&amp;$B$3)+SUMIFS(tPanel_Export[MKASKO_PENET_SHT],tPanel_Export[MAK],$AI17,tPanel_Export[DATE_FROM],"&gt;="&amp;$A$3,tPanel_Export[DATE_TO],"&lt;="&amp;$B$3)+SUMIFS(tPanel_Export[SJ_PENET_SHT],tPanel_Export[MAK],$AI17,tPanel_Export[DATE_FROM],"&gt;="&amp;$A$3,tPanel_Export[DATE_TO],"&lt;="&amp;$B$3)+SUMIFS(tPanel_Export[DKASKO_PENET_SHT],tPanel_Export[MAK],$AI17,tPanel_Export[DATE_FROM],"&gt;="&amp;$A$3,tPanel_Export[DATE_TO],"&lt;="&amp;$B$3)+SUMIFS(tPanel_Export[RAMK_PENET_SHT],tPanel_Export[MAK],$AI17,tPanel_Export[DATE_FROM],"&gt;="&amp;$A$3,tPanel_Export[DATE_TO],"&lt;="&amp;$B$3)+SUMIFS(tPanel_Export[AVL_PENET_SHT],tPanel_Export[MAK],$AI17,tPanel_Export[DATE_FROM],"&gt;="&amp;$A$3,tPanel_Export[DATE_TO],"&lt;="&amp;$B$3)</f>
        <v>0.78951000000000005</v>
      </c>
      <c r="AK17" s="27">
        <f>AJ17</f>
        <v>0.78951000000000005</v>
      </c>
      <c r="AL17" s="27">
        <f>AVERAGE($AK$2:$AK$61)</f>
        <v>0.73906663333333322</v>
      </c>
    </row>
    <row r="18" spans="35:38" x14ac:dyDescent="0.25">
      <c r="AI18" t="s">
        <v>16</v>
      </c>
      <c r="AJ18" s="3">
        <f>SUMIFS(tPanel_Export[VKASKO_PENET_SHT],tPanel_Export[MAK],$AI18,tPanel_Export[DATE_FROM],"&gt;="&amp;$A$3,tPanel_Export[DATE_TO],"&lt;="&amp;$B$3)+SUMIFS(tPanel_Export[MKASKO_PENET_SHT],tPanel_Export[MAK],$AI18,tPanel_Export[DATE_FROM],"&gt;="&amp;$A$3,tPanel_Export[DATE_TO],"&lt;="&amp;$B$3)+SUMIFS(tPanel_Export[SJ_PENET_SHT],tPanel_Export[MAK],$AI18,tPanel_Export[DATE_FROM],"&gt;="&amp;$A$3,tPanel_Export[DATE_TO],"&lt;="&amp;$B$3)+SUMIFS(tPanel_Export[DKASKO_PENET_SHT],tPanel_Export[MAK],$AI18,tPanel_Export[DATE_FROM],"&gt;="&amp;$A$3,tPanel_Export[DATE_TO],"&lt;="&amp;$B$3)+SUMIFS(tPanel_Export[RAMK_PENET_SHT],tPanel_Export[MAK],$AI18,tPanel_Export[DATE_FROM],"&gt;="&amp;$A$3,tPanel_Export[DATE_TO],"&lt;="&amp;$B$3)+SUMIFS(tPanel_Export[AVL_PENET_SHT],tPanel_Export[MAK],$AI18,tPanel_Export[DATE_FROM],"&gt;="&amp;$A$3,tPanel_Export[DATE_TO],"&lt;="&amp;$B$3)</f>
        <v>0.785578</v>
      </c>
      <c r="AK18" s="27">
        <f>AJ18</f>
        <v>0.785578</v>
      </c>
      <c r="AL18" s="27">
        <f>AVERAGE($AK$2:$AK$61)</f>
        <v>0.73906663333333322</v>
      </c>
    </row>
    <row r="19" spans="35:38" x14ac:dyDescent="0.25">
      <c r="AI19" t="s">
        <v>27</v>
      </c>
      <c r="AJ19" s="3">
        <f>SUMIFS(tPanel_Export[VKASKO_PENET_SHT],tPanel_Export[MAK],$AI19,tPanel_Export[DATE_FROM],"&gt;="&amp;$A$3,tPanel_Export[DATE_TO],"&lt;="&amp;$B$3)+SUMIFS(tPanel_Export[MKASKO_PENET_SHT],tPanel_Export[MAK],$AI19,tPanel_Export[DATE_FROM],"&gt;="&amp;$A$3,tPanel_Export[DATE_TO],"&lt;="&amp;$B$3)+SUMIFS(tPanel_Export[SJ_PENET_SHT],tPanel_Export[MAK],$AI19,tPanel_Export[DATE_FROM],"&gt;="&amp;$A$3,tPanel_Export[DATE_TO],"&lt;="&amp;$B$3)+SUMIFS(tPanel_Export[DKASKO_PENET_SHT],tPanel_Export[MAK],$AI19,tPanel_Export[DATE_FROM],"&gt;="&amp;$A$3,tPanel_Export[DATE_TO],"&lt;="&amp;$B$3)+SUMIFS(tPanel_Export[RAMK_PENET_SHT],tPanel_Export[MAK],$AI19,tPanel_Export[DATE_FROM],"&gt;="&amp;$A$3,tPanel_Export[DATE_TO],"&lt;="&amp;$B$3)+SUMIFS(tPanel_Export[AVL_PENET_SHT],tPanel_Export[MAK],$AI19,tPanel_Export[DATE_FROM],"&gt;="&amp;$A$3,tPanel_Export[DATE_TO],"&lt;="&amp;$B$3)</f>
        <v>0.78524700000000003</v>
      </c>
      <c r="AK19" s="27">
        <f>AJ19</f>
        <v>0.78524700000000003</v>
      </c>
      <c r="AL19" s="27">
        <f>AVERAGE($AK$2:$AK$61)</f>
        <v>0.73906663333333322</v>
      </c>
    </row>
    <row r="20" spans="35:38" x14ac:dyDescent="0.25">
      <c r="AI20" t="s">
        <v>17</v>
      </c>
      <c r="AJ20" s="3">
        <f>SUMIFS(tPanel_Export[VKASKO_PENET_SHT],tPanel_Export[MAK],$AI20,tPanel_Export[DATE_FROM],"&gt;="&amp;$A$3,tPanel_Export[DATE_TO],"&lt;="&amp;$B$3)+SUMIFS(tPanel_Export[MKASKO_PENET_SHT],tPanel_Export[MAK],$AI20,tPanel_Export[DATE_FROM],"&gt;="&amp;$A$3,tPanel_Export[DATE_TO],"&lt;="&amp;$B$3)+SUMIFS(tPanel_Export[SJ_PENET_SHT],tPanel_Export[MAK],$AI20,tPanel_Export[DATE_FROM],"&gt;="&amp;$A$3,tPanel_Export[DATE_TO],"&lt;="&amp;$B$3)+SUMIFS(tPanel_Export[DKASKO_PENET_SHT],tPanel_Export[MAK],$AI20,tPanel_Export[DATE_FROM],"&gt;="&amp;$A$3,tPanel_Export[DATE_TO],"&lt;="&amp;$B$3)+SUMIFS(tPanel_Export[RAMK_PENET_SHT],tPanel_Export[MAK],$AI20,tPanel_Export[DATE_FROM],"&gt;="&amp;$A$3,tPanel_Export[DATE_TO],"&lt;="&amp;$B$3)+SUMIFS(tPanel_Export[AVL_PENET_SHT],tPanel_Export[MAK],$AI20,tPanel_Export[DATE_FROM],"&gt;="&amp;$A$3,tPanel_Export[DATE_TO],"&lt;="&amp;$B$3)</f>
        <v>0.78397600000000001</v>
      </c>
      <c r="AK20" s="27">
        <f>AJ20</f>
        <v>0.78397600000000001</v>
      </c>
      <c r="AL20" s="27">
        <f>AVERAGE($AK$2:$AK$61)</f>
        <v>0.73906663333333322</v>
      </c>
    </row>
    <row r="21" spans="35:38" x14ac:dyDescent="0.25">
      <c r="AI21" t="s">
        <v>60</v>
      </c>
      <c r="AJ21" s="3">
        <f>SUMIFS(tPanel_Export[VKASKO_PENET_SHT],tPanel_Export[MAK],$AI21,tPanel_Export[DATE_FROM],"&gt;="&amp;$A$3,tPanel_Export[DATE_TO],"&lt;="&amp;$B$3)+SUMIFS(tPanel_Export[MKASKO_PENET_SHT],tPanel_Export[MAK],$AI21,tPanel_Export[DATE_FROM],"&gt;="&amp;$A$3,tPanel_Export[DATE_TO],"&lt;="&amp;$B$3)+SUMIFS(tPanel_Export[SJ_PENET_SHT],tPanel_Export[MAK],$AI21,tPanel_Export[DATE_FROM],"&gt;="&amp;$A$3,tPanel_Export[DATE_TO],"&lt;="&amp;$B$3)+SUMIFS(tPanel_Export[DKASKO_PENET_SHT],tPanel_Export[MAK],$AI21,tPanel_Export[DATE_FROM],"&gt;="&amp;$A$3,tPanel_Export[DATE_TO],"&lt;="&amp;$B$3)+SUMIFS(tPanel_Export[RAMK_PENET_SHT],tPanel_Export[MAK],$AI21,tPanel_Export[DATE_FROM],"&gt;="&amp;$A$3,tPanel_Export[DATE_TO],"&lt;="&amp;$B$3)+SUMIFS(tPanel_Export[AVL_PENET_SHT],tPanel_Export[MAK],$AI21,tPanel_Export[DATE_FROM],"&gt;="&amp;$A$3,tPanel_Export[DATE_TO],"&lt;="&amp;$B$3)</f>
        <v>0.78305800000000003</v>
      </c>
      <c r="AK21" s="27">
        <f>AJ21</f>
        <v>0.78305800000000003</v>
      </c>
      <c r="AL21" s="27">
        <f>AVERAGE($AK$2:$AK$61)</f>
        <v>0.73906663333333322</v>
      </c>
    </row>
    <row r="22" spans="35:38" x14ac:dyDescent="0.25">
      <c r="AI22" t="s">
        <v>29</v>
      </c>
      <c r="AJ22" s="3">
        <f>SUMIFS(tPanel_Export[VKASKO_PENET_SHT],tPanel_Export[MAK],$AI22,tPanel_Export[DATE_FROM],"&gt;="&amp;$A$3,tPanel_Export[DATE_TO],"&lt;="&amp;$B$3)+SUMIFS(tPanel_Export[MKASKO_PENET_SHT],tPanel_Export[MAK],$AI22,tPanel_Export[DATE_FROM],"&gt;="&amp;$A$3,tPanel_Export[DATE_TO],"&lt;="&amp;$B$3)+SUMIFS(tPanel_Export[SJ_PENET_SHT],tPanel_Export[MAK],$AI22,tPanel_Export[DATE_FROM],"&gt;="&amp;$A$3,tPanel_Export[DATE_TO],"&lt;="&amp;$B$3)+SUMIFS(tPanel_Export[DKASKO_PENET_SHT],tPanel_Export[MAK],$AI22,tPanel_Export[DATE_FROM],"&gt;="&amp;$A$3,tPanel_Export[DATE_TO],"&lt;="&amp;$B$3)+SUMIFS(tPanel_Export[RAMK_PENET_SHT],tPanel_Export[MAK],$AI22,tPanel_Export[DATE_FROM],"&gt;="&amp;$A$3,tPanel_Export[DATE_TO],"&lt;="&amp;$B$3)+SUMIFS(tPanel_Export[AVL_PENET_SHT],tPanel_Export[MAK],$AI22,tPanel_Export[DATE_FROM],"&gt;="&amp;$A$3,tPanel_Export[DATE_TO],"&lt;="&amp;$B$3)</f>
        <v>0.77197199999999999</v>
      </c>
      <c r="AK22" s="27">
        <f>AJ22</f>
        <v>0.77197199999999999</v>
      </c>
      <c r="AL22" s="27">
        <f>AVERAGE($AK$2:$AK$61)</f>
        <v>0.73906663333333322</v>
      </c>
    </row>
    <row r="23" spans="35:38" x14ac:dyDescent="0.25">
      <c r="AI23" t="s">
        <v>33</v>
      </c>
      <c r="AJ23" s="3">
        <f>SUMIFS(tPanel_Export[VKASKO_PENET_SHT],tPanel_Export[MAK],$AI23,tPanel_Export[DATE_FROM],"&gt;="&amp;$A$3,tPanel_Export[DATE_TO],"&lt;="&amp;$B$3)+SUMIFS(tPanel_Export[MKASKO_PENET_SHT],tPanel_Export[MAK],$AI23,tPanel_Export[DATE_FROM],"&gt;="&amp;$A$3,tPanel_Export[DATE_TO],"&lt;="&amp;$B$3)+SUMIFS(tPanel_Export[SJ_PENET_SHT],tPanel_Export[MAK],$AI23,tPanel_Export[DATE_FROM],"&gt;="&amp;$A$3,tPanel_Export[DATE_TO],"&lt;="&amp;$B$3)+SUMIFS(tPanel_Export[DKASKO_PENET_SHT],tPanel_Export[MAK],$AI23,tPanel_Export[DATE_FROM],"&gt;="&amp;$A$3,tPanel_Export[DATE_TO],"&lt;="&amp;$B$3)+SUMIFS(tPanel_Export[RAMK_PENET_SHT],tPanel_Export[MAK],$AI23,tPanel_Export[DATE_FROM],"&gt;="&amp;$A$3,tPanel_Export[DATE_TO],"&lt;="&amp;$B$3)+SUMIFS(tPanel_Export[AVL_PENET_SHT],tPanel_Export[MAK],$AI23,tPanel_Export[DATE_FROM],"&gt;="&amp;$A$3,tPanel_Export[DATE_TO],"&lt;="&amp;$B$3)</f>
        <v>0.77129200000000009</v>
      </c>
      <c r="AK23" s="27">
        <f>AJ23</f>
        <v>0.77129200000000009</v>
      </c>
      <c r="AL23" s="27">
        <f>AVERAGE($AK$2:$AK$61)</f>
        <v>0.73906663333333322</v>
      </c>
    </row>
    <row r="24" spans="35:38" x14ac:dyDescent="0.25">
      <c r="AI24" t="s">
        <v>54</v>
      </c>
      <c r="AJ24" s="3">
        <f>SUMIFS(tPanel_Export[VKASKO_PENET_SHT],tPanel_Export[MAK],$AI24,tPanel_Export[DATE_FROM],"&gt;="&amp;$A$3,tPanel_Export[DATE_TO],"&lt;="&amp;$B$3)+SUMIFS(tPanel_Export[MKASKO_PENET_SHT],tPanel_Export[MAK],$AI24,tPanel_Export[DATE_FROM],"&gt;="&amp;$A$3,tPanel_Export[DATE_TO],"&lt;="&amp;$B$3)+SUMIFS(tPanel_Export[SJ_PENET_SHT],tPanel_Export[MAK],$AI24,tPanel_Export[DATE_FROM],"&gt;="&amp;$A$3,tPanel_Export[DATE_TO],"&lt;="&amp;$B$3)+SUMIFS(tPanel_Export[DKASKO_PENET_SHT],tPanel_Export[MAK],$AI24,tPanel_Export[DATE_FROM],"&gt;="&amp;$A$3,tPanel_Export[DATE_TO],"&lt;="&amp;$B$3)+SUMIFS(tPanel_Export[RAMK_PENET_SHT],tPanel_Export[MAK],$AI24,tPanel_Export[DATE_FROM],"&gt;="&amp;$A$3,tPanel_Export[DATE_TO],"&lt;="&amp;$B$3)+SUMIFS(tPanel_Export[AVL_PENET_SHT],tPanel_Export[MAK],$AI24,tPanel_Export[DATE_FROM],"&gt;="&amp;$A$3,tPanel_Export[DATE_TO],"&lt;="&amp;$B$3)</f>
        <v>0.768424</v>
      </c>
      <c r="AK24" s="27">
        <f>AJ24</f>
        <v>0.768424</v>
      </c>
      <c r="AL24" s="27">
        <f>AVERAGE($AK$2:$AK$61)</f>
        <v>0.73906663333333322</v>
      </c>
    </row>
    <row r="25" spans="35:38" x14ac:dyDescent="0.25">
      <c r="AI25" t="s">
        <v>15</v>
      </c>
      <c r="AJ25" s="3">
        <f>SUMIFS(tPanel_Export[VKASKO_PENET_SHT],tPanel_Export[MAK],$AI25,tPanel_Export[DATE_FROM],"&gt;="&amp;$A$3,tPanel_Export[DATE_TO],"&lt;="&amp;$B$3)+SUMIFS(tPanel_Export[MKASKO_PENET_SHT],tPanel_Export[MAK],$AI25,tPanel_Export[DATE_FROM],"&gt;="&amp;$A$3,tPanel_Export[DATE_TO],"&lt;="&amp;$B$3)+SUMIFS(tPanel_Export[SJ_PENET_SHT],tPanel_Export[MAK],$AI25,tPanel_Export[DATE_FROM],"&gt;="&amp;$A$3,tPanel_Export[DATE_TO],"&lt;="&amp;$B$3)+SUMIFS(tPanel_Export[DKASKO_PENET_SHT],tPanel_Export[MAK],$AI25,tPanel_Export[DATE_FROM],"&gt;="&amp;$A$3,tPanel_Export[DATE_TO],"&lt;="&amp;$B$3)+SUMIFS(tPanel_Export[RAMK_PENET_SHT],tPanel_Export[MAK],$AI25,tPanel_Export[DATE_FROM],"&gt;="&amp;$A$3,tPanel_Export[DATE_TO],"&lt;="&amp;$B$3)+SUMIFS(tPanel_Export[AVL_PENET_SHT],tPanel_Export[MAK],$AI25,tPanel_Export[DATE_FROM],"&gt;="&amp;$A$3,tPanel_Export[DATE_TO],"&lt;="&amp;$B$3)</f>
        <v>0.76805599999999996</v>
      </c>
      <c r="AK25" s="27">
        <f>AJ25</f>
        <v>0.76805599999999996</v>
      </c>
      <c r="AL25" s="27">
        <f>AVERAGE($AK$2:$AK$61)</f>
        <v>0.73906663333333322</v>
      </c>
    </row>
    <row r="26" spans="35:38" x14ac:dyDescent="0.25">
      <c r="AI26" t="s">
        <v>37</v>
      </c>
      <c r="AJ26" s="3">
        <f>SUMIFS(tPanel_Export[VKASKO_PENET_SHT],tPanel_Export[MAK],$AI26,tPanel_Export[DATE_FROM],"&gt;="&amp;$A$3,tPanel_Export[DATE_TO],"&lt;="&amp;$B$3)+SUMIFS(tPanel_Export[MKASKO_PENET_SHT],tPanel_Export[MAK],$AI26,tPanel_Export[DATE_FROM],"&gt;="&amp;$A$3,tPanel_Export[DATE_TO],"&lt;="&amp;$B$3)+SUMIFS(tPanel_Export[SJ_PENET_SHT],tPanel_Export[MAK],$AI26,tPanel_Export[DATE_FROM],"&gt;="&amp;$A$3,tPanel_Export[DATE_TO],"&lt;="&amp;$B$3)+SUMIFS(tPanel_Export[DKASKO_PENET_SHT],tPanel_Export[MAK],$AI26,tPanel_Export[DATE_FROM],"&gt;="&amp;$A$3,tPanel_Export[DATE_TO],"&lt;="&amp;$B$3)+SUMIFS(tPanel_Export[RAMK_PENET_SHT],tPanel_Export[MAK],$AI26,tPanel_Export[DATE_FROM],"&gt;="&amp;$A$3,tPanel_Export[DATE_TO],"&lt;="&amp;$B$3)+SUMIFS(tPanel_Export[AVL_PENET_SHT],tPanel_Export[MAK],$AI26,tPanel_Export[DATE_FROM],"&gt;="&amp;$A$3,tPanel_Export[DATE_TO],"&lt;="&amp;$B$3)</f>
        <v>0.76792799999999994</v>
      </c>
      <c r="AK26" s="27">
        <f>AJ26</f>
        <v>0.76792799999999994</v>
      </c>
      <c r="AL26" s="27">
        <f>AVERAGE($AK$2:$AK$61)</f>
        <v>0.73906663333333322</v>
      </c>
    </row>
    <row r="27" spans="35:38" x14ac:dyDescent="0.25">
      <c r="AI27" t="s">
        <v>30</v>
      </c>
      <c r="AJ27" s="3">
        <f>SUMIFS(tPanel_Export[VKASKO_PENET_SHT],tPanel_Export[MAK],$AI27,tPanel_Export[DATE_FROM],"&gt;="&amp;$A$3,tPanel_Export[DATE_TO],"&lt;="&amp;$B$3)+SUMIFS(tPanel_Export[MKASKO_PENET_SHT],tPanel_Export[MAK],$AI27,tPanel_Export[DATE_FROM],"&gt;="&amp;$A$3,tPanel_Export[DATE_TO],"&lt;="&amp;$B$3)+SUMIFS(tPanel_Export[SJ_PENET_SHT],tPanel_Export[MAK],$AI27,tPanel_Export[DATE_FROM],"&gt;="&amp;$A$3,tPanel_Export[DATE_TO],"&lt;="&amp;$B$3)+SUMIFS(tPanel_Export[DKASKO_PENET_SHT],tPanel_Export[MAK],$AI27,tPanel_Export[DATE_FROM],"&gt;="&amp;$A$3,tPanel_Export[DATE_TO],"&lt;="&amp;$B$3)+SUMIFS(tPanel_Export[RAMK_PENET_SHT],tPanel_Export[MAK],$AI27,tPanel_Export[DATE_FROM],"&gt;="&amp;$A$3,tPanel_Export[DATE_TO],"&lt;="&amp;$B$3)+SUMIFS(tPanel_Export[AVL_PENET_SHT],tPanel_Export[MAK],$AI27,tPanel_Export[DATE_FROM],"&gt;="&amp;$A$3,tPanel_Export[DATE_TO],"&lt;="&amp;$B$3)</f>
        <v>0.75808699999999996</v>
      </c>
      <c r="AK27" s="27">
        <f>AJ27</f>
        <v>0.75808699999999996</v>
      </c>
      <c r="AL27" s="27">
        <f>AVERAGE($AK$2:$AK$61)</f>
        <v>0.73906663333333322</v>
      </c>
    </row>
    <row r="28" spans="35:38" x14ac:dyDescent="0.25">
      <c r="AI28" t="s">
        <v>45</v>
      </c>
      <c r="AJ28" s="3">
        <f>SUMIFS(tPanel_Export[VKASKO_PENET_SHT],tPanel_Export[MAK],$AI28,tPanel_Export[DATE_FROM],"&gt;="&amp;$A$3,tPanel_Export[DATE_TO],"&lt;="&amp;$B$3)+SUMIFS(tPanel_Export[MKASKO_PENET_SHT],tPanel_Export[MAK],$AI28,tPanel_Export[DATE_FROM],"&gt;="&amp;$A$3,tPanel_Export[DATE_TO],"&lt;="&amp;$B$3)+SUMIFS(tPanel_Export[SJ_PENET_SHT],tPanel_Export[MAK],$AI28,tPanel_Export[DATE_FROM],"&gt;="&amp;$A$3,tPanel_Export[DATE_TO],"&lt;="&amp;$B$3)+SUMIFS(tPanel_Export[DKASKO_PENET_SHT],tPanel_Export[MAK],$AI28,tPanel_Export[DATE_FROM],"&gt;="&amp;$A$3,tPanel_Export[DATE_TO],"&lt;="&amp;$B$3)+SUMIFS(tPanel_Export[RAMK_PENET_SHT],tPanel_Export[MAK],$AI28,tPanel_Export[DATE_FROM],"&gt;="&amp;$A$3,tPanel_Export[DATE_TO],"&lt;="&amp;$B$3)+SUMIFS(tPanel_Export[AVL_PENET_SHT],tPanel_Export[MAK],$AI28,tPanel_Export[DATE_FROM],"&gt;="&amp;$A$3,tPanel_Export[DATE_TO],"&lt;="&amp;$B$3)</f>
        <v>0.75722500000000004</v>
      </c>
      <c r="AK28" s="27">
        <f>AJ28</f>
        <v>0.75722500000000004</v>
      </c>
      <c r="AL28" s="27">
        <f>AVERAGE($AK$2:$AK$61)</f>
        <v>0.73906663333333322</v>
      </c>
    </row>
    <row r="29" spans="35:38" x14ac:dyDescent="0.25">
      <c r="AI29" t="s">
        <v>46</v>
      </c>
      <c r="AJ29" s="3">
        <f>SUMIFS(tPanel_Export[VKASKO_PENET_SHT],tPanel_Export[MAK],$AI29,tPanel_Export[DATE_FROM],"&gt;="&amp;$A$3,tPanel_Export[DATE_TO],"&lt;="&amp;$B$3)+SUMIFS(tPanel_Export[MKASKO_PENET_SHT],tPanel_Export[MAK],$AI29,tPanel_Export[DATE_FROM],"&gt;="&amp;$A$3,tPanel_Export[DATE_TO],"&lt;="&amp;$B$3)+SUMIFS(tPanel_Export[SJ_PENET_SHT],tPanel_Export[MAK],$AI29,tPanel_Export[DATE_FROM],"&gt;="&amp;$A$3,tPanel_Export[DATE_TO],"&lt;="&amp;$B$3)+SUMIFS(tPanel_Export[DKASKO_PENET_SHT],tPanel_Export[MAK],$AI29,tPanel_Export[DATE_FROM],"&gt;="&amp;$A$3,tPanel_Export[DATE_TO],"&lt;="&amp;$B$3)+SUMIFS(tPanel_Export[RAMK_PENET_SHT],tPanel_Export[MAK],$AI29,tPanel_Export[DATE_FROM],"&gt;="&amp;$A$3,tPanel_Export[DATE_TO],"&lt;="&amp;$B$3)+SUMIFS(tPanel_Export[AVL_PENET_SHT],tPanel_Export[MAK],$AI29,tPanel_Export[DATE_FROM],"&gt;="&amp;$A$3,tPanel_Export[DATE_TO],"&lt;="&amp;$B$3)</f>
        <v>0.75685400000000003</v>
      </c>
      <c r="AK29" s="27">
        <f>AJ29</f>
        <v>0.75685400000000003</v>
      </c>
      <c r="AL29" s="27">
        <f>AVERAGE($AK$2:$AK$61)</f>
        <v>0.73906663333333322</v>
      </c>
    </row>
    <row r="30" spans="35:38" x14ac:dyDescent="0.25">
      <c r="AI30" t="s">
        <v>34</v>
      </c>
      <c r="AJ30" s="3">
        <f>SUMIFS(tPanel_Export[VKASKO_PENET_SHT],tPanel_Export[MAK],$AI30,tPanel_Export[DATE_FROM],"&gt;="&amp;$A$3,tPanel_Export[DATE_TO],"&lt;="&amp;$B$3)+SUMIFS(tPanel_Export[MKASKO_PENET_SHT],tPanel_Export[MAK],$AI30,tPanel_Export[DATE_FROM],"&gt;="&amp;$A$3,tPanel_Export[DATE_TO],"&lt;="&amp;$B$3)+SUMIFS(tPanel_Export[SJ_PENET_SHT],tPanel_Export[MAK],$AI30,tPanel_Export[DATE_FROM],"&gt;="&amp;$A$3,tPanel_Export[DATE_TO],"&lt;="&amp;$B$3)+SUMIFS(tPanel_Export[DKASKO_PENET_SHT],tPanel_Export[MAK],$AI30,tPanel_Export[DATE_FROM],"&gt;="&amp;$A$3,tPanel_Export[DATE_TO],"&lt;="&amp;$B$3)+SUMIFS(tPanel_Export[RAMK_PENET_SHT],tPanel_Export[MAK],$AI30,tPanel_Export[DATE_FROM],"&gt;="&amp;$A$3,tPanel_Export[DATE_TO],"&lt;="&amp;$B$3)+SUMIFS(tPanel_Export[AVL_PENET_SHT],tPanel_Export[MAK],$AI30,tPanel_Export[DATE_FROM],"&gt;="&amp;$A$3,tPanel_Export[DATE_TO],"&lt;="&amp;$B$3)</f>
        <v>0.75518399999999997</v>
      </c>
      <c r="AK30" s="27">
        <f>AJ30</f>
        <v>0.75518399999999997</v>
      </c>
      <c r="AL30" s="27">
        <f>AVERAGE($AK$2:$AK$61)</f>
        <v>0.73906663333333322</v>
      </c>
    </row>
    <row r="31" spans="35:38" x14ac:dyDescent="0.25">
      <c r="AI31" t="s">
        <v>63</v>
      </c>
      <c r="AJ31" s="3">
        <f>SUMIFS(tPanel_Export[VKASKO_PENET_SHT],tPanel_Export[MAK],$AI31,tPanel_Export[DATE_FROM],"&gt;="&amp;$A$3,tPanel_Export[DATE_TO],"&lt;="&amp;$B$3)+SUMIFS(tPanel_Export[MKASKO_PENET_SHT],tPanel_Export[MAK],$AI31,tPanel_Export[DATE_FROM],"&gt;="&amp;$A$3,tPanel_Export[DATE_TO],"&lt;="&amp;$B$3)+SUMIFS(tPanel_Export[SJ_PENET_SHT],tPanel_Export[MAK],$AI31,tPanel_Export[DATE_FROM],"&gt;="&amp;$A$3,tPanel_Export[DATE_TO],"&lt;="&amp;$B$3)+SUMIFS(tPanel_Export[DKASKO_PENET_SHT],tPanel_Export[MAK],$AI31,tPanel_Export[DATE_FROM],"&gt;="&amp;$A$3,tPanel_Export[DATE_TO],"&lt;="&amp;$B$3)+SUMIFS(tPanel_Export[RAMK_PENET_SHT],tPanel_Export[MAK],$AI31,tPanel_Export[DATE_FROM],"&gt;="&amp;$A$3,tPanel_Export[DATE_TO],"&lt;="&amp;$B$3)+SUMIFS(tPanel_Export[AVL_PENET_SHT],tPanel_Export[MAK],$AI31,tPanel_Export[DATE_FROM],"&gt;="&amp;$A$3,tPanel_Export[DATE_TO],"&lt;="&amp;$B$3)</f>
        <v>0.75317699999999999</v>
      </c>
      <c r="AK31" s="27">
        <f>AJ31</f>
        <v>0.75317699999999999</v>
      </c>
      <c r="AL31" s="27">
        <f>AVERAGE($AK$2:$AK$61)</f>
        <v>0.73906663333333322</v>
      </c>
    </row>
    <row r="32" spans="35:38" x14ac:dyDescent="0.25">
      <c r="AI32" t="s">
        <v>57</v>
      </c>
      <c r="AJ32" s="3">
        <f>SUMIFS(tPanel_Export[VKASKO_PENET_SHT],tPanel_Export[MAK],$AI32,tPanel_Export[DATE_FROM],"&gt;="&amp;$A$3,tPanel_Export[DATE_TO],"&lt;="&amp;$B$3)+SUMIFS(tPanel_Export[MKASKO_PENET_SHT],tPanel_Export[MAK],$AI32,tPanel_Export[DATE_FROM],"&gt;="&amp;$A$3,tPanel_Export[DATE_TO],"&lt;="&amp;$B$3)+SUMIFS(tPanel_Export[SJ_PENET_SHT],tPanel_Export[MAK],$AI32,tPanel_Export[DATE_FROM],"&gt;="&amp;$A$3,tPanel_Export[DATE_TO],"&lt;="&amp;$B$3)+SUMIFS(tPanel_Export[DKASKO_PENET_SHT],tPanel_Export[MAK],$AI32,tPanel_Export[DATE_FROM],"&gt;="&amp;$A$3,tPanel_Export[DATE_TO],"&lt;="&amp;$B$3)+SUMIFS(tPanel_Export[RAMK_PENET_SHT],tPanel_Export[MAK],$AI32,tPanel_Export[DATE_FROM],"&gt;="&amp;$A$3,tPanel_Export[DATE_TO],"&lt;="&amp;$B$3)+SUMIFS(tPanel_Export[AVL_PENET_SHT],tPanel_Export[MAK],$AI32,tPanel_Export[DATE_FROM],"&gt;="&amp;$A$3,tPanel_Export[DATE_TO],"&lt;="&amp;$B$3)</f>
        <v>0.75097800000000003</v>
      </c>
      <c r="AK32" s="27">
        <f>AJ32</f>
        <v>0.75097800000000003</v>
      </c>
      <c r="AL32" s="27">
        <f>AVERAGE($AK$2:$AK$61)</f>
        <v>0.73906663333333322</v>
      </c>
    </row>
    <row r="33" spans="35:38" x14ac:dyDescent="0.25">
      <c r="AI33" t="s">
        <v>61</v>
      </c>
      <c r="AJ33" s="3">
        <f>SUMIFS(tPanel_Export[VKASKO_PENET_SHT],tPanel_Export[MAK],$AI33,tPanel_Export[DATE_FROM],"&gt;="&amp;$A$3,tPanel_Export[DATE_TO],"&lt;="&amp;$B$3)+SUMIFS(tPanel_Export[MKASKO_PENET_SHT],tPanel_Export[MAK],$AI33,tPanel_Export[DATE_FROM],"&gt;="&amp;$A$3,tPanel_Export[DATE_TO],"&lt;="&amp;$B$3)+SUMIFS(tPanel_Export[SJ_PENET_SHT],tPanel_Export[MAK],$AI33,tPanel_Export[DATE_FROM],"&gt;="&amp;$A$3,tPanel_Export[DATE_TO],"&lt;="&amp;$B$3)+SUMIFS(tPanel_Export[DKASKO_PENET_SHT],tPanel_Export[MAK],$AI33,tPanel_Export[DATE_FROM],"&gt;="&amp;$A$3,tPanel_Export[DATE_TO],"&lt;="&amp;$B$3)+SUMIFS(tPanel_Export[RAMK_PENET_SHT],tPanel_Export[MAK],$AI33,tPanel_Export[DATE_FROM],"&gt;="&amp;$A$3,tPanel_Export[DATE_TO],"&lt;="&amp;$B$3)+SUMIFS(tPanel_Export[AVL_PENET_SHT],tPanel_Export[MAK],$AI33,tPanel_Export[DATE_FROM],"&gt;="&amp;$A$3,tPanel_Export[DATE_TO],"&lt;="&amp;$B$3)</f>
        <v>0.74843199999999999</v>
      </c>
      <c r="AK33" s="27">
        <f>AJ33</f>
        <v>0.74843199999999999</v>
      </c>
      <c r="AL33" s="27">
        <f>AVERAGE($AK$2:$AK$61)</f>
        <v>0.73906663333333322</v>
      </c>
    </row>
    <row r="34" spans="35:38" x14ac:dyDescent="0.25">
      <c r="AI34" t="s">
        <v>8</v>
      </c>
      <c r="AJ34" s="3">
        <f>SUMIFS(tPanel_Export[VKASKO_PENET_SHT],tPanel_Export[MAK],$AI34,tPanel_Export[DATE_FROM],"&gt;="&amp;$A$3,tPanel_Export[DATE_TO],"&lt;="&amp;$B$3)+SUMIFS(tPanel_Export[MKASKO_PENET_SHT],tPanel_Export[MAK],$AI34,tPanel_Export[DATE_FROM],"&gt;="&amp;$A$3,tPanel_Export[DATE_TO],"&lt;="&amp;$B$3)+SUMIFS(tPanel_Export[SJ_PENET_SHT],tPanel_Export[MAK],$AI34,tPanel_Export[DATE_FROM],"&gt;="&amp;$A$3,tPanel_Export[DATE_TO],"&lt;="&amp;$B$3)+SUMIFS(tPanel_Export[DKASKO_PENET_SHT],tPanel_Export[MAK],$AI34,tPanel_Export[DATE_FROM],"&gt;="&amp;$A$3,tPanel_Export[DATE_TO],"&lt;="&amp;$B$3)+SUMIFS(tPanel_Export[RAMK_PENET_SHT],tPanel_Export[MAK],$AI34,tPanel_Export[DATE_FROM],"&gt;="&amp;$A$3,tPanel_Export[DATE_TO],"&lt;="&amp;$B$3)+SUMIFS(tPanel_Export[AVL_PENET_SHT],tPanel_Export[MAK],$AI34,tPanel_Export[DATE_FROM],"&gt;="&amp;$A$3,tPanel_Export[DATE_TO],"&lt;="&amp;$B$3)</f>
        <v>0.7422089999999999</v>
      </c>
      <c r="AK34" s="27">
        <f>AJ34</f>
        <v>0.7422089999999999</v>
      </c>
      <c r="AL34" s="27">
        <f>AVERAGE($AK$2:$AK$61)</f>
        <v>0.73906663333333322</v>
      </c>
    </row>
    <row r="35" spans="35:38" x14ac:dyDescent="0.25">
      <c r="AI35" t="s">
        <v>9</v>
      </c>
      <c r="AJ35" s="3">
        <f>SUMIFS(tPanel_Export[VKASKO_PENET_SHT],tPanel_Export[MAK],$AI35,tPanel_Export[DATE_FROM],"&gt;="&amp;$A$3,tPanel_Export[DATE_TO],"&lt;="&amp;$B$3)+SUMIFS(tPanel_Export[MKASKO_PENET_SHT],tPanel_Export[MAK],$AI35,tPanel_Export[DATE_FROM],"&gt;="&amp;$A$3,tPanel_Export[DATE_TO],"&lt;="&amp;$B$3)+SUMIFS(tPanel_Export[SJ_PENET_SHT],tPanel_Export[MAK],$AI35,tPanel_Export[DATE_FROM],"&gt;="&amp;$A$3,tPanel_Export[DATE_TO],"&lt;="&amp;$B$3)+SUMIFS(tPanel_Export[DKASKO_PENET_SHT],tPanel_Export[MAK],$AI35,tPanel_Export[DATE_FROM],"&gt;="&amp;$A$3,tPanel_Export[DATE_TO],"&lt;="&amp;$B$3)+SUMIFS(tPanel_Export[RAMK_PENET_SHT],tPanel_Export[MAK],$AI35,tPanel_Export[DATE_FROM],"&gt;="&amp;$A$3,tPanel_Export[DATE_TO],"&lt;="&amp;$B$3)+SUMIFS(tPanel_Export[AVL_PENET_SHT],tPanel_Export[MAK],$AI35,tPanel_Export[DATE_FROM],"&gt;="&amp;$A$3,tPanel_Export[DATE_TO],"&lt;="&amp;$B$3)</f>
        <v>0.74</v>
      </c>
      <c r="AK35" s="27">
        <f>AJ35</f>
        <v>0.74</v>
      </c>
      <c r="AL35" s="27">
        <f>AVERAGE($AK$2:$AK$61)</f>
        <v>0.73906663333333322</v>
      </c>
    </row>
    <row r="36" spans="35:38" x14ac:dyDescent="0.25">
      <c r="AI36" t="s">
        <v>12</v>
      </c>
      <c r="AJ36" s="3">
        <f>SUMIFS(tPanel_Export[VKASKO_PENET_SHT],tPanel_Export[MAK],$AI36,tPanel_Export[DATE_FROM],"&gt;="&amp;$A$3,tPanel_Export[DATE_TO],"&lt;="&amp;$B$3)+SUMIFS(tPanel_Export[MKASKO_PENET_SHT],tPanel_Export[MAK],$AI36,tPanel_Export[DATE_FROM],"&gt;="&amp;$A$3,tPanel_Export[DATE_TO],"&lt;="&amp;$B$3)+SUMIFS(tPanel_Export[SJ_PENET_SHT],tPanel_Export[MAK],$AI36,tPanel_Export[DATE_FROM],"&gt;="&amp;$A$3,tPanel_Export[DATE_TO],"&lt;="&amp;$B$3)+SUMIFS(tPanel_Export[DKASKO_PENET_SHT],tPanel_Export[MAK],$AI36,tPanel_Export[DATE_FROM],"&gt;="&amp;$A$3,tPanel_Export[DATE_TO],"&lt;="&amp;$B$3)+SUMIFS(tPanel_Export[RAMK_PENET_SHT],tPanel_Export[MAK],$AI36,tPanel_Export[DATE_FROM],"&gt;="&amp;$A$3,tPanel_Export[DATE_TO],"&lt;="&amp;$B$3)+SUMIFS(tPanel_Export[AVL_PENET_SHT],tPanel_Export[MAK],$AI36,tPanel_Export[DATE_FROM],"&gt;="&amp;$A$3,tPanel_Export[DATE_TO],"&lt;="&amp;$B$3)</f>
        <v>0.73263400000000001</v>
      </c>
      <c r="AK36" s="27">
        <f>AJ36</f>
        <v>0.73263400000000001</v>
      </c>
      <c r="AL36" s="27">
        <f>AVERAGE($AK$2:$AK$61)</f>
        <v>0.73906663333333322</v>
      </c>
    </row>
    <row r="37" spans="35:38" x14ac:dyDescent="0.25">
      <c r="AI37" t="s">
        <v>6</v>
      </c>
      <c r="AJ37" s="3">
        <f>SUMIFS(tPanel_Export[VKASKO_PENET_SHT],tPanel_Export[MAK],$AI37,tPanel_Export[DATE_FROM],"&gt;="&amp;$A$3,tPanel_Export[DATE_TO],"&lt;="&amp;$B$3)+SUMIFS(tPanel_Export[MKASKO_PENET_SHT],tPanel_Export[MAK],$AI37,tPanel_Export[DATE_FROM],"&gt;="&amp;$A$3,tPanel_Export[DATE_TO],"&lt;="&amp;$B$3)+SUMIFS(tPanel_Export[SJ_PENET_SHT],tPanel_Export[MAK],$AI37,tPanel_Export[DATE_FROM],"&gt;="&amp;$A$3,tPanel_Export[DATE_TO],"&lt;="&amp;$B$3)+SUMIFS(tPanel_Export[DKASKO_PENET_SHT],tPanel_Export[MAK],$AI37,tPanel_Export[DATE_FROM],"&gt;="&amp;$A$3,tPanel_Export[DATE_TO],"&lt;="&amp;$B$3)+SUMIFS(tPanel_Export[RAMK_PENET_SHT],tPanel_Export[MAK],$AI37,tPanel_Export[DATE_FROM],"&gt;="&amp;$A$3,tPanel_Export[DATE_TO],"&lt;="&amp;$B$3)+SUMIFS(tPanel_Export[AVL_PENET_SHT],tPanel_Export[MAK],$AI37,tPanel_Export[DATE_FROM],"&gt;="&amp;$A$3,tPanel_Export[DATE_TO],"&lt;="&amp;$B$3)</f>
        <v>0.72989799999999994</v>
      </c>
      <c r="AK37" s="27">
        <f>AJ37</f>
        <v>0.72989799999999994</v>
      </c>
      <c r="AL37" s="27">
        <f>AVERAGE($AK$2:$AK$61)</f>
        <v>0.73906663333333322</v>
      </c>
    </row>
    <row r="38" spans="35:38" x14ac:dyDescent="0.25">
      <c r="AI38" t="s">
        <v>19</v>
      </c>
      <c r="AJ38" s="3">
        <f>SUMIFS(tPanel_Export[VKASKO_PENET_SHT],tPanel_Export[MAK],$AI38,tPanel_Export[DATE_FROM],"&gt;="&amp;$A$3,tPanel_Export[DATE_TO],"&lt;="&amp;$B$3)+SUMIFS(tPanel_Export[MKASKO_PENET_SHT],tPanel_Export[MAK],$AI38,tPanel_Export[DATE_FROM],"&gt;="&amp;$A$3,tPanel_Export[DATE_TO],"&lt;="&amp;$B$3)+SUMIFS(tPanel_Export[SJ_PENET_SHT],tPanel_Export[MAK],$AI38,tPanel_Export[DATE_FROM],"&gt;="&amp;$A$3,tPanel_Export[DATE_TO],"&lt;="&amp;$B$3)+SUMIFS(tPanel_Export[DKASKO_PENET_SHT],tPanel_Export[MAK],$AI38,tPanel_Export[DATE_FROM],"&gt;="&amp;$A$3,tPanel_Export[DATE_TO],"&lt;="&amp;$B$3)+SUMIFS(tPanel_Export[RAMK_PENET_SHT],tPanel_Export[MAK],$AI38,tPanel_Export[DATE_FROM],"&gt;="&amp;$A$3,tPanel_Export[DATE_TO],"&lt;="&amp;$B$3)+SUMIFS(tPanel_Export[AVL_PENET_SHT],tPanel_Export[MAK],$AI38,tPanel_Export[DATE_FROM],"&gt;="&amp;$A$3,tPanel_Export[DATE_TO],"&lt;="&amp;$B$3)</f>
        <v>0.72775599999999996</v>
      </c>
      <c r="AK38" s="27">
        <f>AJ38</f>
        <v>0.72775599999999996</v>
      </c>
      <c r="AL38" s="27">
        <f>AVERAGE($AK$2:$AK$61)</f>
        <v>0.73906663333333322</v>
      </c>
    </row>
    <row r="39" spans="35:38" x14ac:dyDescent="0.25">
      <c r="AI39" t="s">
        <v>41</v>
      </c>
      <c r="AJ39" s="3">
        <f>SUMIFS(tPanel_Export[VKASKO_PENET_SHT],tPanel_Export[MAK],$AI39,tPanel_Export[DATE_FROM],"&gt;="&amp;$A$3,tPanel_Export[DATE_TO],"&lt;="&amp;$B$3)+SUMIFS(tPanel_Export[MKASKO_PENET_SHT],tPanel_Export[MAK],$AI39,tPanel_Export[DATE_FROM],"&gt;="&amp;$A$3,tPanel_Export[DATE_TO],"&lt;="&amp;$B$3)+SUMIFS(tPanel_Export[SJ_PENET_SHT],tPanel_Export[MAK],$AI39,tPanel_Export[DATE_FROM],"&gt;="&amp;$A$3,tPanel_Export[DATE_TO],"&lt;="&amp;$B$3)+SUMIFS(tPanel_Export[DKASKO_PENET_SHT],tPanel_Export[MAK],$AI39,tPanel_Export[DATE_FROM],"&gt;="&amp;$A$3,tPanel_Export[DATE_TO],"&lt;="&amp;$B$3)+SUMIFS(tPanel_Export[RAMK_PENET_SHT],tPanel_Export[MAK],$AI39,tPanel_Export[DATE_FROM],"&gt;="&amp;$A$3,tPanel_Export[DATE_TO],"&lt;="&amp;$B$3)+SUMIFS(tPanel_Export[AVL_PENET_SHT],tPanel_Export[MAK],$AI39,tPanel_Export[DATE_FROM],"&gt;="&amp;$A$3,tPanel_Export[DATE_TO],"&lt;="&amp;$B$3)</f>
        <v>0.72612399999999999</v>
      </c>
      <c r="AK39" s="27">
        <f>AJ39</f>
        <v>0.72612399999999999</v>
      </c>
      <c r="AL39" s="27">
        <f>AVERAGE($AK$2:$AK$61)</f>
        <v>0.73906663333333322</v>
      </c>
    </row>
    <row r="40" spans="35:38" x14ac:dyDescent="0.25">
      <c r="AI40" t="s">
        <v>47</v>
      </c>
      <c r="AJ40" s="3">
        <f>SUMIFS(tPanel_Export[VKASKO_PENET_SHT],tPanel_Export[MAK],$AI40,tPanel_Export[DATE_FROM],"&gt;="&amp;$A$3,tPanel_Export[DATE_TO],"&lt;="&amp;$B$3)+SUMIFS(tPanel_Export[MKASKO_PENET_SHT],tPanel_Export[MAK],$AI40,tPanel_Export[DATE_FROM],"&gt;="&amp;$A$3,tPanel_Export[DATE_TO],"&lt;="&amp;$B$3)+SUMIFS(tPanel_Export[SJ_PENET_SHT],tPanel_Export[MAK],$AI40,tPanel_Export[DATE_FROM],"&gt;="&amp;$A$3,tPanel_Export[DATE_TO],"&lt;="&amp;$B$3)+SUMIFS(tPanel_Export[DKASKO_PENET_SHT],tPanel_Export[MAK],$AI40,tPanel_Export[DATE_FROM],"&gt;="&amp;$A$3,tPanel_Export[DATE_TO],"&lt;="&amp;$B$3)+SUMIFS(tPanel_Export[RAMK_PENET_SHT],tPanel_Export[MAK],$AI40,tPanel_Export[DATE_FROM],"&gt;="&amp;$A$3,tPanel_Export[DATE_TO],"&lt;="&amp;$B$3)+SUMIFS(tPanel_Export[AVL_PENET_SHT],tPanel_Export[MAK],$AI40,tPanel_Export[DATE_FROM],"&gt;="&amp;$A$3,tPanel_Export[DATE_TO],"&lt;="&amp;$B$3)</f>
        <v>0.72501599999999999</v>
      </c>
      <c r="AK40" s="27">
        <f>AJ40</f>
        <v>0.72501599999999999</v>
      </c>
      <c r="AL40" s="27">
        <f>AVERAGE($AK$2:$AK$61)</f>
        <v>0.73906663333333322</v>
      </c>
    </row>
    <row r="41" spans="35:38" x14ac:dyDescent="0.25">
      <c r="AI41" t="s">
        <v>25</v>
      </c>
      <c r="AJ41" s="3">
        <f>SUMIFS(tPanel_Export[VKASKO_PENET_SHT],tPanel_Export[MAK],$AI41,tPanel_Export[DATE_FROM],"&gt;="&amp;$A$3,tPanel_Export[DATE_TO],"&lt;="&amp;$B$3)+SUMIFS(tPanel_Export[MKASKO_PENET_SHT],tPanel_Export[MAK],$AI41,tPanel_Export[DATE_FROM],"&gt;="&amp;$A$3,tPanel_Export[DATE_TO],"&lt;="&amp;$B$3)+SUMIFS(tPanel_Export[SJ_PENET_SHT],tPanel_Export[MAK],$AI41,tPanel_Export[DATE_FROM],"&gt;="&amp;$A$3,tPanel_Export[DATE_TO],"&lt;="&amp;$B$3)+SUMIFS(tPanel_Export[DKASKO_PENET_SHT],tPanel_Export[MAK],$AI41,tPanel_Export[DATE_FROM],"&gt;="&amp;$A$3,tPanel_Export[DATE_TO],"&lt;="&amp;$B$3)+SUMIFS(tPanel_Export[RAMK_PENET_SHT],tPanel_Export[MAK],$AI41,tPanel_Export[DATE_FROM],"&gt;="&amp;$A$3,tPanel_Export[DATE_TO],"&lt;="&amp;$B$3)+SUMIFS(tPanel_Export[AVL_PENET_SHT],tPanel_Export[MAK],$AI41,tPanel_Export[DATE_FROM],"&gt;="&amp;$A$3,tPanel_Export[DATE_TO],"&lt;="&amp;$B$3)</f>
        <v>0.72417900000000002</v>
      </c>
      <c r="AK41" s="27">
        <f>AJ41</f>
        <v>0.72417900000000002</v>
      </c>
      <c r="AL41" s="27">
        <f>AVERAGE($AK$2:$AK$61)</f>
        <v>0.73906663333333322</v>
      </c>
    </row>
    <row r="42" spans="35:38" x14ac:dyDescent="0.25">
      <c r="AI42" t="s">
        <v>39</v>
      </c>
      <c r="AJ42" s="3">
        <f>SUMIFS(tPanel_Export[VKASKO_PENET_SHT],tPanel_Export[MAK],$AI42,tPanel_Export[DATE_FROM],"&gt;="&amp;$A$3,tPanel_Export[DATE_TO],"&lt;="&amp;$B$3)+SUMIFS(tPanel_Export[MKASKO_PENET_SHT],tPanel_Export[MAK],$AI42,tPanel_Export[DATE_FROM],"&gt;="&amp;$A$3,tPanel_Export[DATE_TO],"&lt;="&amp;$B$3)+SUMIFS(tPanel_Export[SJ_PENET_SHT],tPanel_Export[MAK],$AI42,tPanel_Export[DATE_FROM],"&gt;="&amp;$A$3,tPanel_Export[DATE_TO],"&lt;="&amp;$B$3)+SUMIFS(tPanel_Export[DKASKO_PENET_SHT],tPanel_Export[MAK],$AI42,tPanel_Export[DATE_FROM],"&gt;="&amp;$A$3,tPanel_Export[DATE_TO],"&lt;="&amp;$B$3)+SUMIFS(tPanel_Export[RAMK_PENET_SHT],tPanel_Export[MAK],$AI42,tPanel_Export[DATE_FROM],"&gt;="&amp;$A$3,tPanel_Export[DATE_TO],"&lt;="&amp;$B$3)+SUMIFS(tPanel_Export[AVL_PENET_SHT],tPanel_Export[MAK],$AI42,tPanel_Export[DATE_FROM],"&gt;="&amp;$A$3,tPanel_Export[DATE_TO],"&lt;="&amp;$B$3)</f>
        <v>0.71973799999999999</v>
      </c>
      <c r="AK42" s="27">
        <f>AJ42</f>
        <v>0.71973799999999999</v>
      </c>
      <c r="AL42" s="27">
        <f>AVERAGE($AK$2:$AK$61)</f>
        <v>0.73906663333333322</v>
      </c>
    </row>
    <row r="43" spans="35:38" x14ac:dyDescent="0.25">
      <c r="AI43" t="s">
        <v>32</v>
      </c>
      <c r="AJ43" s="3">
        <f>SUMIFS(tPanel_Export[VKASKO_PENET_SHT],tPanel_Export[MAK],$AI43,tPanel_Export[DATE_FROM],"&gt;="&amp;$A$3,tPanel_Export[DATE_TO],"&lt;="&amp;$B$3)+SUMIFS(tPanel_Export[MKASKO_PENET_SHT],tPanel_Export[MAK],$AI43,tPanel_Export[DATE_FROM],"&gt;="&amp;$A$3,tPanel_Export[DATE_TO],"&lt;="&amp;$B$3)+SUMIFS(tPanel_Export[SJ_PENET_SHT],tPanel_Export[MAK],$AI43,tPanel_Export[DATE_FROM],"&gt;="&amp;$A$3,tPanel_Export[DATE_TO],"&lt;="&amp;$B$3)+SUMIFS(tPanel_Export[DKASKO_PENET_SHT],tPanel_Export[MAK],$AI43,tPanel_Export[DATE_FROM],"&gt;="&amp;$A$3,tPanel_Export[DATE_TO],"&lt;="&amp;$B$3)+SUMIFS(tPanel_Export[RAMK_PENET_SHT],tPanel_Export[MAK],$AI43,tPanel_Export[DATE_FROM],"&gt;="&amp;$A$3,tPanel_Export[DATE_TO],"&lt;="&amp;$B$3)+SUMIFS(tPanel_Export[AVL_PENET_SHT],tPanel_Export[MAK],$AI43,tPanel_Export[DATE_FROM],"&gt;="&amp;$A$3,tPanel_Export[DATE_TO],"&lt;="&amp;$B$3)</f>
        <v>0.71770400000000001</v>
      </c>
      <c r="AK43" s="27">
        <f>AJ43</f>
        <v>0.71770400000000001</v>
      </c>
      <c r="AL43" s="27">
        <f>AVERAGE($AK$2:$AK$61)</f>
        <v>0.73906663333333322</v>
      </c>
    </row>
    <row r="44" spans="35:38" x14ac:dyDescent="0.25">
      <c r="AI44" t="s">
        <v>52</v>
      </c>
      <c r="AJ44" s="3">
        <f>SUMIFS(tPanel_Export[VKASKO_PENET_SHT],tPanel_Export[MAK],$AI44,tPanel_Export[DATE_FROM],"&gt;="&amp;$A$3,tPanel_Export[DATE_TO],"&lt;="&amp;$B$3)+SUMIFS(tPanel_Export[MKASKO_PENET_SHT],tPanel_Export[MAK],$AI44,tPanel_Export[DATE_FROM],"&gt;="&amp;$A$3,tPanel_Export[DATE_TO],"&lt;="&amp;$B$3)+SUMIFS(tPanel_Export[SJ_PENET_SHT],tPanel_Export[MAK],$AI44,tPanel_Export[DATE_FROM],"&gt;="&amp;$A$3,tPanel_Export[DATE_TO],"&lt;="&amp;$B$3)+SUMIFS(tPanel_Export[DKASKO_PENET_SHT],tPanel_Export[MAK],$AI44,tPanel_Export[DATE_FROM],"&gt;="&amp;$A$3,tPanel_Export[DATE_TO],"&lt;="&amp;$B$3)+SUMIFS(tPanel_Export[RAMK_PENET_SHT],tPanel_Export[MAK],$AI44,tPanel_Export[DATE_FROM],"&gt;="&amp;$A$3,tPanel_Export[DATE_TO],"&lt;="&amp;$B$3)+SUMIFS(tPanel_Export[AVL_PENET_SHT],tPanel_Export[MAK],$AI44,tPanel_Export[DATE_FROM],"&gt;="&amp;$A$3,tPanel_Export[DATE_TO],"&lt;="&amp;$B$3)</f>
        <v>0.71672999999999998</v>
      </c>
      <c r="AK44" s="27">
        <f>AJ44</f>
        <v>0.71672999999999998</v>
      </c>
      <c r="AL44" s="27">
        <f>AVERAGE($AK$2:$AK$61)</f>
        <v>0.73906663333333322</v>
      </c>
    </row>
    <row r="45" spans="35:38" x14ac:dyDescent="0.25">
      <c r="AI45" t="s">
        <v>51</v>
      </c>
      <c r="AJ45" s="3">
        <f>SUMIFS(tPanel_Export[VKASKO_PENET_SHT],tPanel_Export[MAK],$AI45,tPanel_Export[DATE_FROM],"&gt;="&amp;$A$3,tPanel_Export[DATE_TO],"&lt;="&amp;$B$3)+SUMIFS(tPanel_Export[MKASKO_PENET_SHT],tPanel_Export[MAK],$AI45,tPanel_Export[DATE_FROM],"&gt;="&amp;$A$3,tPanel_Export[DATE_TO],"&lt;="&amp;$B$3)+SUMIFS(tPanel_Export[SJ_PENET_SHT],tPanel_Export[MAK],$AI45,tPanel_Export[DATE_FROM],"&gt;="&amp;$A$3,tPanel_Export[DATE_TO],"&lt;="&amp;$B$3)+SUMIFS(tPanel_Export[DKASKO_PENET_SHT],tPanel_Export[MAK],$AI45,tPanel_Export[DATE_FROM],"&gt;="&amp;$A$3,tPanel_Export[DATE_TO],"&lt;="&amp;$B$3)+SUMIFS(tPanel_Export[RAMK_PENET_SHT],tPanel_Export[MAK],$AI45,tPanel_Export[DATE_FROM],"&gt;="&amp;$A$3,tPanel_Export[DATE_TO],"&lt;="&amp;$B$3)+SUMIFS(tPanel_Export[AVL_PENET_SHT],tPanel_Export[MAK],$AI45,tPanel_Export[DATE_FROM],"&gt;="&amp;$A$3,tPanel_Export[DATE_TO],"&lt;="&amp;$B$3)</f>
        <v>0.69984400000000002</v>
      </c>
      <c r="AK45" s="27">
        <f>AJ45</f>
        <v>0.69984400000000002</v>
      </c>
      <c r="AL45" s="27">
        <f>AVERAGE($AK$2:$AK$61)</f>
        <v>0.73906663333333322</v>
      </c>
    </row>
    <row r="46" spans="35:38" x14ac:dyDescent="0.25">
      <c r="AI46" t="s">
        <v>43</v>
      </c>
      <c r="AJ46" s="3">
        <f>SUMIFS(tPanel_Export[VKASKO_PENET_SHT],tPanel_Export[MAK],$AI46,tPanel_Export[DATE_FROM],"&gt;="&amp;$A$3,tPanel_Export[DATE_TO],"&lt;="&amp;$B$3)+SUMIFS(tPanel_Export[MKASKO_PENET_SHT],tPanel_Export[MAK],$AI46,tPanel_Export[DATE_FROM],"&gt;="&amp;$A$3,tPanel_Export[DATE_TO],"&lt;="&amp;$B$3)+SUMIFS(tPanel_Export[SJ_PENET_SHT],tPanel_Export[MAK],$AI46,tPanel_Export[DATE_FROM],"&gt;="&amp;$A$3,tPanel_Export[DATE_TO],"&lt;="&amp;$B$3)+SUMIFS(tPanel_Export[DKASKO_PENET_SHT],tPanel_Export[MAK],$AI46,tPanel_Export[DATE_FROM],"&gt;="&amp;$A$3,tPanel_Export[DATE_TO],"&lt;="&amp;$B$3)+SUMIFS(tPanel_Export[RAMK_PENET_SHT],tPanel_Export[MAK],$AI46,tPanel_Export[DATE_FROM],"&gt;="&amp;$A$3,tPanel_Export[DATE_TO],"&lt;="&amp;$B$3)+SUMIFS(tPanel_Export[AVL_PENET_SHT],tPanel_Export[MAK],$AI46,tPanel_Export[DATE_FROM],"&gt;="&amp;$A$3,tPanel_Export[DATE_TO],"&lt;="&amp;$B$3)</f>
        <v>0.69930099999999995</v>
      </c>
      <c r="AK46" s="27">
        <f>AJ46</f>
        <v>0.69930099999999995</v>
      </c>
      <c r="AL46" s="27">
        <f>AVERAGE($AK$2:$AK$61)</f>
        <v>0.73906663333333322</v>
      </c>
    </row>
    <row r="47" spans="35:38" x14ac:dyDescent="0.25">
      <c r="AI47" t="s">
        <v>5</v>
      </c>
      <c r="AJ47" s="3">
        <f>SUMIFS(tPanel_Export[VKASKO_PENET_SHT],tPanel_Export[MAK],$AI47,tPanel_Export[DATE_FROM],"&gt;="&amp;$A$3,tPanel_Export[DATE_TO],"&lt;="&amp;$B$3)+SUMIFS(tPanel_Export[MKASKO_PENET_SHT],tPanel_Export[MAK],$AI47,tPanel_Export[DATE_FROM],"&gt;="&amp;$A$3,tPanel_Export[DATE_TO],"&lt;="&amp;$B$3)+SUMIFS(tPanel_Export[SJ_PENET_SHT],tPanel_Export[MAK],$AI47,tPanel_Export[DATE_FROM],"&gt;="&amp;$A$3,tPanel_Export[DATE_TO],"&lt;="&amp;$B$3)+SUMIFS(tPanel_Export[DKASKO_PENET_SHT],tPanel_Export[MAK],$AI47,tPanel_Export[DATE_FROM],"&gt;="&amp;$A$3,tPanel_Export[DATE_TO],"&lt;="&amp;$B$3)+SUMIFS(tPanel_Export[RAMK_PENET_SHT],tPanel_Export[MAK],$AI47,tPanel_Export[DATE_FROM],"&gt;="&amp;$A$3,tPanel_Export[DATE_TO],"&lt;="&amp;$B$3)+SUMIFS(tPanel_Export[AVL_PENET_SHT],tPanel_Export[MAK],$AI47,tPanel_Export[DATE_FROM],"&gt;="&amp;$A$3,tPanel_Export[DATE_TO],"&lt;="&amp;$B$3)</f>
        <v>0.69844499999999998</v>
      </c>
      <c r="AK47" s="27">
        <f>AJ47</f>
        <v>0.69844499999999998</v>
      </c>
      <c r="AL47" s="27">
        <f>AVERAGE($AK$2:$AK$61)</f>
        <v>0.73906663333333322</v>
      </c>
    </row>
    <row r="48" spans="35:38" x14ac:dyDescent="0.25">
      <c r="AI48" t="s">
        <v>18</v>
      </c>
      <c r="AJ48" s="3">
        <f>SUMIFS(tPanel_Export[VKASKO_PENET_SHT],tPanel_Export[MAK],$AI48,tPanel_Export[DATE_FROM],"&gt;="&amp;$A$3,tPanel_Export[DATE_TO],"&lt;="&amp;$B$3)+SUMIFS(tPanel_Export[MKASKO_PENET_SHT],tPanel_Export[MAK],$AI48,tPanel_Export[DATE_FROM],"&gt;="&amp;$A$3,tPanel_Export[DATE_TO],"&lt;="&amp;$B$3)+SUMIFS(tPanel_Export[SJ_PENET_SHT],tPanel_Export[MAK],$AI48,tPanel_Export[DATE_FROM],"&gt;="&amp;$A$3,tPanel_Export[DATE_TO],"&lt;="&amp;$B$3)+SUMIFS(tPanel_Export[DKASKO_PENET_SHT],tPanel_Export[MAK],$AI48,tPanel_Export[DATE_FROM],"&gt;="&amp;$A$3,tPanel_Export[DATE_TO],"&lt;="&amp;$B$3)+SUMIFS(tPanel_Export[RAMK_PENET_SHT],tPanel_Export[MAK],$AI48,tPanel_Export[DATE_FROM],"&gt;="&amp;$A$3,tPanel_Export[DATE_TO],"&lt;="&amp;$B$3)+SUMIFS(tPanel_Export[AVL_PENET_SHT],tPanel_Export[MAK],$AI48,tPanel_Export[DATE_FROM],"&gt;="&amp;$A$3,tPanel_Export[DATE_TO],"&lt;="&amp;$B$3)</f>
        <v>0.69641799999999998</v>
      </c>
      <c r="AK48" s="27">
        <f>AJ48</f>
        <v>0.69641799999999998</v>
      </c>
      <c r="AL48" s="27">
        <f>AVERAGE($AK$2:$AK$61)</f>
        <v>0.73906663333333322</v>
      </c>
    </row>
    <row r="49" spans="35:38" x14ac:dyDescent="0.25">
      <c r="AI49" t="s">
        <v>21</v>
      </c>
      <c r="AJ49" s="3">
        <f>SUMIFS(tPanel_Export[VKASKO_PENET_SHT],tPanel_Export[MAK],$AI49,tPanel_Export[DATE_FROM],"&gt;="&amp;$A$3,tPanel_Export[DATE_TO],"&lt;="&amp;$B$3)+SUMIFS(tPanel_Export[MKASKO_PENET_SHT],tPanel_Export[MAK],$AI49,tPanel_Export[DATE_FROM],"&gt;="&amp;$A$3,tPanel_Export[DATE_TO],"&lt;="&amp;$B$3)+SUMIFS(tPanel_Export[SJ_PENET_SHT],tPanel_Export[MAK],$AI49,tPanel_Export[DATE_FROM],"&gt;="&amp;$A$3,tPanel_Export[DATE_TO],"&lt;="&amp;$B$3)+SUMIFS(tPanel_Export[DKASKO_PENET_SHT],tPanel_Export[MAK],$AI49,tPanel_Export[DATE_FROM],"&gt;="&amp;$A$3,tPanel_Export[DATE_TO],"&lt;="&amp;$B$3)+SUMIFS(tPanel_Export[RAMK_PENET_SHT],tPanel_Export[MAK],$AI49,tPanel_Export[DATE_FROM],"&gt;="&amp;$A$3,tPanel_Export[DATE_TO],"&lt;="&amp;$B$3)+SUMIFS(tPanel_Export[AVL_PENET_SHT],tPanel_Export[MAK],$AI49,tPanel_Export[DATE_FROM],"&gt;="&amp;$A$3,tPanel_Export[DATE_TO],"&lt;="&amp;$B$3)</f>
        <v>0.69202900000000001</v>
      </c>
      <c r="AK49" s="27">
        <f>AJ49</f>
        <v>0.69202900000000001</v>
      </c>
      <c r="AL49" s="27">
        <f>AVERAGE($AK$2:$AK$61)</f>
        <v>0.73906663333333322</v>
      </c>
    </row>
    <row r="50" spans="35:38" x14ac:dyDescent="0.25">
      <c r="AI50" t="s">
        <v>50</v>
      </c>
      <c r="AJ50" s="3">
        <f>SUMIFS(tPanel_Export[VKASKO_PENET_SHT],tPanel_Export[MAK],$AI50,tPanel_Export[DATE_FROM],"&gt;="&amp;$A$3,tPanel_Export[DATE_TO],"&lt;="&amp;$B$3)+SUMIFS(tPanel_Export[MKASKO_PENET_SHT],tPanel_Export[MAK],$AI50,tPanel_Export[DATE_FROM],"&gt;="&amp;$A$3,tPanel_Export[DATE_TO],"&lt;="&amp;$B$3)+SUMIFS(tPanel_Export[SJ_PENET_SHT],tPanel_Export[MAK],$AI50,tPanel_Export[DATE_FROM],"&gt;="&amp;$A$3,tPanel_Export[DATE_TO],"&lt;="&amp;$B$3)+SUMIFS(tPanel_Export[DKASKO_PENET_SHT],tPanel_Export[MAK],$AI50,tPanel_Export[DATE_FROM],"&gt;="&amp;$A$3,tPanel_Export[DATE_TO],"&lt;="&amp;$B$3)+SUMIFS(tPanel_Export[RAMK_PENET_SHT],tPanel_Export[MAK],$AI50,tPanel_Export[DATE_FROM],"&gt;="&amp;$A$3,tPanel_Export[DATE_TO],"&lt;="&amp;$B$3)+SUMIFS(tPanel_Export[AVL_PENET_SHT],tPanel_Export[MAK],$AI50,tPanel_Export[DATE_FROM],"&gt;="&amp;$A$3,tPanel_Export[DATE_TO],"&lt;="&amp;$B$3)</f>
        <v>0.688442</v>
      </c>
      <c r="AK50" s="27">
        <f>AJ50</f>
        <v>0.688442</v>
      </c>
      <c r="AL50" s="27">
        <f>AVERAGE($AK$2:$AK$61)</f>
        <v>0.73906663333333322</v>
      </c>
    </row>
    <row r="51" spans="35:38" x14ac:dyDescent="0.25">
      <c r="AI51" t="s">
        <v>53</v>
      </c>
      <c r="AJ51" s="3">
        <f>SUMIFS(tPanel_Export[VKASKO_PENET_SHT],tPanel_Export[MAK],$AI51,tPanel_Export[DATE_FROM],"&gt;="&amp;$A$3,tPanel_Export[DATE_TO],"&lt;="&amp;$B$3)+SUMIFS(tPanel_Export[MKASKO_PENET_SHT],tPanel_Export[MAK],$AI51,tPanel_Export[DATE_FROM],"&gt;="&amp;$A$3,tPanel_Export[DATE_TO],"&lt;="&amp;$B$3)+SUMIFS(tPanel_Export[SJ_PENET_SHT],tPanel_Export[MAK],$AI51,tPanel_Export[DATE_FROM],"&gt;="&amp;$A$3,tPanel_Export[DATE_TO],"&lt;="&amp;$B$3)+SUMIFS(tPanel_Export[DKASKO_PENET_SHT],tPanel_Export[MAK],$AI51,tPanel_Export[DATE_FROM],"&gt;="&amp;$A$3,tPanel_Export[DATE_TO],"&lt;="&amp;$B$3)+SUMIFS(tPanel_Export[RAMK_PENET_SHT],tPanel_Export[MAK],$AI51,tPanel_Export[DATE_FROM],"&gt;="&amp;$A$3,tPanel_Export[DATE_TO],"&lt;="&amp;$B$3)+SUMIFS(tPanel_Export[AVL_PENET_SHT],tPanel_Export[MAK],$AI51,tPanel_Export[DATE_FROM],"&gt;="&amp;$A$3,tPanel_Export[DATE_TO],"&lt;="&amp;$B$3)</f>
        <v>0.685168</v>
      </c>
      <c r="AK51" s="27">
        <f>AJ51</f>
        <v>0.685168</v>
      </c>
      <c r="AL51" s="27">
        <f>AVERAGE($AK$2:$AK$61)</f>
        <v>0.73906663333333322</v>
      </c>
    </row>
    <row r="52" spans="35:38" x14ac:dyDescent="0.25">
      <c r="AI52" t="s">
        <v>28</v>
      </c>
      <c r="AJ52" s="3">
        <f>SUMIFS(tPanel_Export[VKASKO_PENET_SHT],tPanel_Export[MAK],$AI52,tPanel_Export[DATE_FROM],"&gt;="&amp;$A$3,tPanel_Export[DATE_TO],"&lt;="&amp;$B$3)+SUMIFS(tPanel_Export[MKASKO_PENET_SHT],tPanel_Export[MAK],$AI52,tPanel_Export[DATE_FROM],"&gt;="&amp;$A$3,tPanel_Export[DATE_TO],"&lt;="&amp;$B$3)+SUMIFS(tPanel_Export[SJ_PENET_SHT],tPanel_Export[MAK],$AI52,tPanel_Export[DATE_FROM],"&gt;="&amp;$A$3,tPanel_Export[DATE_TO],"&lt;="&amp;$B$3)+SUMIFS(tPanel_Export[DKASKO_PENET_SHT],tPanel_Export[MAK],$AI52,tPanel_Export[DATE_FROM],"&gt;="&amp;$A$3,tPanel_Export[DATE_TO],"&lt;="&amp;$B$3)+SUMIFS(tPanel_Export[RAMK_PENET_SHT],tPanel_Export[MAK],$AI52,tPanel_Export[DATE_FROM],"&gt;="&amp;$A$3,tPanel_Export[DATE_TO],"&lt;="&amp;$B$3)+SUMIFS(tPanel_Export[AVL_PENET_SHT],tPanel_Export[MAK],$AI52,tPanel_Export[DATE_FROM],"&gt;="&amp;$A$3,tPanel_Export[DATE_TO],"&lt;="&amp;$B$3)</f>
        <v>0.68137500000000006</v>
      </c>
      <c r="AK52" s="27">
        <f>AJ52</f>
        <v>0.68137500000000006</v>
      </c>
      <c r="AL52" s="27">
        <f>AVERAGE($AK$2:$AK$61)</f>
        <v>0.73906663333333322</v>
      </c>
    </row>
    <row r="53" spans="35:38" x14ac:dyDescent="0.25">
      <c r="AI53" t="s">
        <v>59</v>
      </c>
      <c r="AJ53" s="3">
        <f>SUMIFS(tPanel_Export[VKASKO_PENET_SHT],tPanel_Export[MAK],$AI53,tPanel_Export[DATE_FROM],"&gt;="&amp;$A$3,tPanel_Export[DATE_TO],"&lt;="&amp;$B$3)+SUMIFS(tPanel_Export[MKASKO_PENET_SHT],tPanel_Export[MAK],$AI53,tPanel_Export[DATE_FROM],"&gt;="&amp;$A$3,tPanel_Export[DATE_TO],"&lt;="&amp;$B$3)+SUMIFS(tPanel_Export[SJ_PENET_SHT],tPanel_Export[MAK],$AI53,tPanel_Export[DATE_FROM],"&gt;="&amp;$A$3,tPanel_Export[DATE_TO],"&lt;="&amp;$B$3)+SUMIFS(tPanel_Export[DKASKO_PENET_SHT],tPanel_Export[MAK],$AI53,tPanel_Export[DATE_FROM],"&gt;="&amp;$A$3,tPanel_Export[DATE_TO],"&lt;="&amp;$B$3)+SUMIFS(tPanel_Export[RAMK_PENET_SHT],tPanel_Export[MAK],$AI53,tPanel_Export[DATE_FROM],"&gt;="&amp;$A$3,tPanel_Export[DATE_TO],"&lt;="&amp;$B$3)+SUMIFS(tPanel_Export[AVL_PENET_SHT],tPanel_Export[MAK],$AI53,tPanel_Export[DATE_FROM],"&gt;="&amp;$A$3,tPanel_Export[DATE_TO],"&lt;="&amp;$B$3)</f>
        <v>0.67359999999999998</v>
      </c>
      <c r="AK53" s="27">
        <f>AJ53</f>
        <v>0.67359999999999998</v>
      </c>
      <c r="AL53" s="27">
        <f>AVERAGE($AK$2:$AK$61)</f>
        <v>0.73906663333333322</v>
      </c>
    </row>
    <row r="54" spans="35:38" x14ac:dyDescent="0.25">
      <c r="AI54" t="s">
        <v>11</v>
      </c>
      <c r="AJ54" s="3">
        <f>SUMIFS(tPanel_Export[VKASKO_PENET_SHT],tPanel_Export[MAK],$AI54,tPanel_Export[DATE_FROM],"&gt;="&amp;$A$3,tPanel_Export[DATE_TO],"&lt;="&amp;$B$3)+SUMIFS(tPanel_Export[MKASKO_PENET_SHT],tPanel_Export[MAK],$AI54,tPanel_Export[DATE_FROM],"&gt;="&amp;$A$3,tPanel_Export[DATE_TO],"&lt;="&amp;$B$3)+SUMIFS(tPanel_Export[SJ_PENET_SHT],tPanel_Export[MAK],$AI54,tPanel_Export[DATE_FROM],"&gt;="&amp;$A$3,tPanel_Export[DATE_TO],"&lt;="&amp;$B$3)+SUMIFS(tPanel_Export[DKASKO_PENET_SHT],tPanel_Export[MAK],$AI54,tPanel_Export[DATE_FROM],"&gt;="&amp;$A$3,tPanel_Export[DATE_TO],"&lt;="&amp;$B$3)+SUMIFS(tPanel_Export[RAMK_PENET_SHT],tPanel_Export[MAK],$AI54,tPanel_Export[DATE_FROM],"&gt;="&amp;$A$3,tPanel_Export[DATE_TO],"&lt;="&amp;$B$3)+SUMIFS(tPanel_Export[AVL_PENET_SHT],tPanel_Export[MAK],$AI54,tPanel_Export[DATE_FROM],"&gt;="&amp;$A$3,tPanel_Export[DATE_TO],"&lt;="&amp;$B$3)</f>
        <v>0.67294100000000001</v>
      </c>
      <c r="AK54" s="27">
        <f>AJ54</f>
        <v>0.67294100000000001</v>
      </c>
      <c r="AL54" s="27">
        <f>AVERAGE($AK$2:$AK$61)</f>
        <v>0.73906663333333322</v>
      </c>
    </row>
    <row r="55" spans="35:38" x14ac:dyDescent="0.25">
      <c r="AI55" t="s">
        <v>23</v>
      </c>
      <c r="AJ55" s="3">
        <f>SUMIFS(tPanel_Export[VKASKO_PENET_SHT],tPanel_Export[MAK],$AI55,tPanel_Export[DATE_FROM],"&gt;="&amp;$A$3,tPanel_Export[DATE_TO],"&lt;="&amp;$B$3)+SUMIFS(tPanel_Export[MKASKO_PENET_SHT],tPanel_Export[MAK],$AI55,tPanel_Export[DATE_FROM],"&gt;="&amp;$A$3,tPanel_Export[DATE_TO],"&lt;="&amp;$B$3)+SUMIFS(tPanel_Export[SJ_PENET_SHT],tPanel_Export[MAK],$AI55,tPanel_Export[DATE_FROM],"&gt;="&amp;$A$3,tPanel_Export[DATE_TO],"&lt;="&amp;$B$3)+SUMIFS(tPanel_Export[DKASKO_PENET_SHT],tPanel_Export[MAK],$AI55,tPanel_Export[DATE_FROM],"&gt;="&amp;$A$3,tPanel_Export[DATE_TO],"&lt;="&amp;$B$3)+SUMIFS(tPanel_Export[RAMK_PENET_SHT],tPanel_Export[MAK],$AI55,tPanel_Export[DATE_FROM],"&gt;="&amp;$A$3,tPanel_Export[DATE_TO],"&lt;="&amp;$B$3)+SUMIFS(tPanel_Export[AVL_PENET_SHT],tPanel_Export[MAK],$AI55,tPanel_Export[DATE_FROM],"&gt;="&amp;$A$3,tPanel_Export[DATE_TO],"&lt;="&amp;$B$3)</f>
        <v>0.66931000000000007</v>
      </c>
      <c r="AK55" s="27">
        <f>AJ55</f>
        <v>0.66931000000000007</v>
      </c>
      <c r="AL55" s="27">
        <f>AVERAGE($AK$2:$AK$61)</f>
        <v>0.73906663333333322</v>
      </c>
    </row>
    <row r="56" spans="35:38" x14ac:dyDescent="0.25">
      <c r="AI56" t="s">
        <v>40</v>
      </c>
      <c r="AJ56" s="3">
        <f>SUMIFS(tPanel_Export[VKASKO_PENET_SHT],tPanel_Export[MAK],$AI56,tPanel_Export[DATE_FROM],"&gt;="&amp;$A$3,tPanel_Export[DATE_TO],"&lt;="&amp;$B$3)+SUMIFS(tPanel_Export[MKASKO_PENET_SHT],tPanel_Export[MAK],$AI56,tPanel_Export[DATE_FROM],"&gt;="&amp;$A$3,tPanel_Export[DATE_TO],"&lt;="&amp;$B$3)+SUMIFS(tPanel_Export[SJ_PENET_SHT],tPanel_Export[MAK],$AI56,tPanel_Export[DATE_FROM],"&gt;="&amp;$A$3,tPanel_Export[DATE_TO],"&lt;="&amp;$B$3)+SUMIFS(tPanel_Export[DKASKO_PENET_SHT],tPanel_Export[MAK],$AI56,tPanel_Export[DATE_FROM],"&gt;="&amp;$A$3,tPanel_Export[DATE_TO],"&lt;="&amp;$B$3)+SUMIFS(tPanel_Export[RAMK_PENET_SHT],tPanel_Export[MAK],$AI56,tPanel_Export[DATE_FROM],"&gt;="&amp;$A$3,tPanel_Export[DATE_TO],"&lt;="&amp;$B$3)+SUMIFS(tPanel_Export[AVL_PENET_SHT],tPanel_Export[MAK],$AI56,tPanel_Export[DATE_FROM],"&gt;="&amp;$A$3,tPanel_Export[DATE_TO],"&lt;="&amp;$B$3)</f>
        <v>0.65716600000000003</v>
      </c>
      <c r="AK56" s="27">
        <f>AJ56</f>
        <v>0.65716600000000003</v>
      </c>
      <c r="AL56" s="27">
        <f>AVERAGE($AK$2:$AK$61)</f>
        <v>0.73906663333333322</v>
      </c>
    </row>
    <row r="57" spans="35:38" x14ac:dyDescent="0.25">
      <c r="AI57" t="s">
        <v>42</v>
      </c>
      <c r="AJ57" s="3">
        <f>SUMIFS(tPanel_Export[VKASKO_PENET_SHT],tPanel_Export[MAK],$AI57,tPanel_Export[DATE_FROM],"&gt;="&amp;$A$3,tPanel_Export[DATE_TO],"&lt;="&amp;$B$3)+SUMIFS(tPanel_Export[MKASKO_PENET_SHT],tPanel_Export[MAK],$AI57,tPanel_Export[DATE_FROM],"&gt;="&amp;$A$3,tPanel_Export[DATE_TO],"&lt;="&amp;$B$3)+SUMIFS(tPanel_Export[SJ_PENET_SHT],tPanel_Export[MAK],$AI57,tPanel_Export[DATE_FROM],"&gt;="&amp;$A$3,tPanel_Export[DATE_TO],"&lt;="&amp;$B$3)+SUMIFS(tPanel_Export[DKASKO_PENET_SHT],tPanel_Export[MAK],$AI57,tPanel_Export[DATE_FROM],"&gt;="&amp;$A$3,tPanel_Export[DATE_TO],"&lt;="&amp;$B$3)+SUMIFS(tPanel_Export[RAMK_PENET_SHT],tPanel_Export[MAK],$AI57,tPanel_Export[DATE_FROM],"&gt;="&amp;$A$3,tPanel_Export[DATE_TO],"&lt;="&amp;$B$3)+SUMIFS(tPanel_Export[AVL_PENET_SHT],tPanel_Export[MAK],$AI57,tPanel_Export[DATE_FROM],"&gt;="&amp;$A$3,tPanel_Export[DATE_TO],"&lt;="&amp;$B$3)</f>
        <v>0.64684999999999993</v>
      </c>
      <c r="AK57" s="27">
        <f>AJ57</f>
        <v>0.64684999999999993</v>
      </c>
      <c r="AL57" s="27">
        <f>AVERAGE($AK$2:$AK$61)</f>
        <v>0.73906663333333322</v>
      </c>
    </row>
    <row r="58" spans="35:38" x14ac:dyDescent="0.25">
      <c r="AI58" t="s">
        <v>38</v>
      </c>
      <c r="AJ58" s="3">
        <f>SUMIFS(tPanel_Export[VKASKO_PENET_SHT],tPanel_Export[MAK],$AI58,tPanel_Export[DATE_FROM],"&gt;="&amp;$A$3,tPanel_Export[DATE_TO],"&lt;="&amp;$B$3)+SUMIFS(tPanel_Export[MKASKO_PENET_SHT],tPanel_Export[MAK],$AI58,tPanel_Export[DATE_FROM],"&gt;="&amp;$A$3,tPanel_Export[DATE_TO],"&lt;="&amp;$B$3)+SUMIFS(tPanel_Export[SJ_PENET_SHT],tPanel_Export[MAK],$AI58,tPanel_Export[DATE_FROM],"&gt;="&amp;$A$3,tPanel_Export[DATE_TO],"&lt;="&amp;$B$3)+SUMIFS(tPanel_Export[DKASKO_PENET_SHT],tPanel_Export[MAK],$AI58,tPanel_Export[DATE_FROM],"&gt;="&amp;$A$3,tPanel_Export[DATE_TO],"&lt;="&amp;$B$3)+SUMIFS(tPanel_Export[RAMK_PENET_SHT],tPanel_Export[MAK],$AI58,tPanel_Export[DATE_FROM],"&gt;="&amp;$A$3,tPanel_Export[DATE_TO],"&lt;="&amp;$B$3)+SUMIFS(tPanel_Export[AVL_PENET_SHT],tPanel_Export[MAK],$AI58,tPanel_Export[DATE_FROM],"&gt;="&amp;$A$3,tPanel_Export[DATE_TO],"&lt;="&amp;$B$3)</f>
        <v>0.62980800000000003</v>
      </c>
      <c r="AK58" s="27">
        <f>AJ58</f>
        <v>0.62980800000000003</v>
      </c>
      <c r="AL58" s="27">
        <f>AVERAGE($AK$2:$AK$61)</f>
        <v>0.73906663333333322</v>
      </c>
    </row>
    <row r="59" spans="35:38" x14ac:dyDescent="0.25">
      <c r="AI59" t="s">
        <v>36</v>
      </c>
      <c r="AJ59" s="3">
        <f>SUMIFS(tPanel_Export[VKASKO_PENET_SHT],tPanel_Export[MAK],$AI59,tPanel_Export[DATE_FROM],"&gt;="&amp;$A$3,tPanel_Export[DATE_TO],"&lt;="&amp;$B$3)+SUMIFS(tPanel_Export[MKASKO_PENET_SHT],tPanel_Export[MAK],$AI59,tPanel_Export[DATE_FROM],"&gt;="&amp;$A$3,tPanel_Export[DATE_TO],"&lt;="&amp;$B$3)+SUMIFS(tPanel_Export[SJ_PENET_SHT],tPanel_Export[MAK],$AI59,tPanel_Export[DATE_FROM],"&gt;="&amp;$A$3,tPanel_Export[DATE_TO],"&lt;="&amp;$B$3)+SUMIFS(tPanel_Export[DKASKO_PENET_SHT],tPanel_Export[MAK],$AI59,tPanel_Export[DATE_FROM],"&gt;="&amp;$A$3,tPanel_Export[DATE_TO],"&lt;="&amp;$B$3)+SUMIFS(tPanel_Export[RAMK_PENET_SHT],tPanel_Export[MAK],$AI59,tPanel_Export[DATE_FROM],"&gt;="&amp;$A$3,tPanel_Export[DATE_TO],"&lt;="&amp;$B$3)+SUMIFS(tPanel_Export[AVL_PENET_SHT],tPanel_Export[MAK],$AI59,tPanel_Export[DATE_FROM],"&gt;="&amp;$A$3,tPanel_Export[DATE_TO],"&lt;="&amp;$B$3)</f>
        <v>0.60446599999999995</v>
      </c>
      <c r="AK59" s="27">
        <f>AJ59</f>
        <v>0.60446599999999995</v>
      </c>
      <c r="AL59" s="27">
        <f>AVERAGE($AK$2:$AK$61)</f>
        <v>0.73906663333333322</v>
      </c>
    </row>
    <row r="60" spans="35:38" x14ac:dyDescent="0.25">
      <c r="AI60" t="s">
        <v>35</v>
      </c>
      <c r="AJ60" s="3">
        <f>SUMIFS(tPanel_Export[VKASKO_PENET_SHT],tPanel_Export[MAK],$AI60,tPanel_Export[DATE_FROM],"&gt;="&amp;$A$3,tPanel_Export[DATE_TO],"&lt;="&amp;$B$3)+SUMIFS(tPanel_Export[MKASKO_PENET_SHT],tPanel_Export[MAK],$AI60,tPanel_Export[DATE_FROM],"&gt;="&amp;$A$3,tPanel_Export[DATE_TO],"&lt;="&amp;$B$3)+SUMIFS(tPanel_Export[SJ_PENET_SHT],tPanel_Export[MAK],$AI60,tPanel_Export[DATE_FROM],"&gt;="&amp;$A$3,tPanel_Export[DATE_TO],"&lt;="&amp;$B$3)+SUMIFS(tPanel_Export[DKASKO_PENET_SHT],tPanel_Export[MAK],$AI60,tPanel_Export[DATE_FROM],"&gt;="&amp;$A$3,tPanel_Export[DATE_TO],"&lt;="&amp;$B$3)+SUMIFS(tPanel_Export[RAMK_PENET_SHT],tPanel_Export[MAK],$AI60,tPanel_Export[DATE_FROM],"&gt;="&amp;$A$3,tPanel_Export[DATE_TO],"&lt;="&amp;$B$3)+SUMIFS(tPanel_Export[AVL_PENET_SHT],tPanel_Export[MAK],$AI60,tPanel_Export[DATE_FROM],"&gt;="&amp;$A$3,tPanel_Export[DATE_TO],"&lt;="&amp;$B$3)</f>
        <v>0.51671600000000006</v>
      </c>
      <c r="AK60" s="27">
        <f>AJ60</f>
        <v>0.51671600000000006</v>
      </c>
      <c r="AL60" s="27">
        <f>AVERAGE($AK$2:$AK$61)</f>
        <v>0.73906663333333322</v>
      </c>
    </row>
    <row r="61" spans="35:38" x14ac:dyDescent="0.25">
      <c r="AI61" t="s">
        <v>56</v>
      </c>
      <c r="AJ61" s="3">
        <f>SUMIFS(tPanel_Export[VKASKO_PENET_SHT],tPanel_Export[MAK],$AI61,tPanel_Export[DATE_FROM],"&gt;="&amp;$A$3,tPanel_Export[DATE_TO],"&lt;="&amp;$B$3)+SUMIFS(tPanel_Export[MKASKO_PENET_SHT],tPanel_Export[MAK],$AI61,tPanel_Export[DATE_FROM],"&gt;="&amp;$A$3,tPanel_Export[DATE_TO],"&lt;="&amp;$B$3)+SUMIFS(tPanel_Export[SJ_PENET_SHT],tPanel_Export[MAK],$AI61,tPanel_Export[DATE_FROM],"&gt;="&amp;$A$3,tPanel_Export[DATE_TO],"&lt;="&amp;$B$3)+SUMIFS(tPanel_Export[DKASKO_PENET_SHT],tPanel_Export[MAK],$AI61,tPanel_Export[DATE_FROM],"&gt;="&amp;$A$3,tPanel_Export[DATE_TO],"&lt;="&amp;$B$3)+SUMIFS(tPanel_Export[RAMK_PENET_SHT],tPanel_Export[MAK],$AI61,tPanel_Export[DATE_FROM],"&gt;="&amp;$A$3,tPanel_Export[DATE_TO],"&lt;="&amp;$B$3)+SUMIFS(tPanel_Export[AVL_PENET_SHT],tPanel_Export[MAK],$AI61,tPanel_Export[DATE_FROM],"&gt;="&amp;$A$3,tPanel_Export[DATE_TO],"&lt;="&amp;$B$3)</f>
        <v>0.247222</v>
      </c>
      <c r="AK61" s="27">
        <f>AJ61</f>
        <v>0.247222</v>
      </c>
      <c r="AL61" s="27">
        <f>AVERAGE($AK$2:$AK$61)</f>
        <v>0.73906663333333322</v>
      </c>
    </row>
  </sheetData>
  <autoFilter ref="AI1:AL61">
    <sortState ref="AI2:AL61">
      <sortCondition descending="1" ref="AK1:AK61"/>
    </sortState>
  </autoFilter>
  <mergeCells count="1">
    <mergeCell ref="A1:B1"/>
  </mergeCells>
  <dataValidations count="2">
    <dataValidation type="list" allowBlank="1" showInputMessage="1" showErrorMessage="1" sqref="B3">
      <formula1>date_to_list</formula1>
    </dataValidation>
    <dataValidation type="list" allowBlank="1" showInputMessage="1" showErrorMessage="1" sqref="A3">
      <formula1>date_from_list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UChartSort">
                <anchor moveWithCells="1" sizeWithCells="1">
                  <from>
                    <xdr:col>2</xdr:col>
                    <xdr:colOff>190500</xdr:colOff>
                    <xdr:row>0</xdr:row>
                    <xdr:rowOff>85725</xdr:rowOff>
                  </from>
                  <to>
                    <xdr:col>6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rgb="FF0070C0"/>
  </sheetPr>
  <dimension ref="A1:AH61"/>
  <sheetViews>
    <sheetView showGridLines="0" zoomScale="85" zoomScaleNormal="85" workbookViewId="0">
      <pane ySplit="3" topLeftCell="A4" activePane="bottomLeft" state="frozen"/>
      <selection pane="bottomLeft" activeCell="J1" sqref="J1"/>
    </sheetView>
  </sheetViews>
  <sheetFormatPr defaultRowHeight="15" x14ac:dyDescent="0.25"/>
  <cols>
    <col min="1" max="1" width="10.28515625" customWidth="1"/>
    <col min="2" max="3" width="10.28515625" bestFit="1" customWidth="1"/>
    <col min="31" max="31" width="18.28515625" customWidth="1"/>
    <col min="32" max="33" width="27" bestFit="1" customWidth="1"/>
    <col min="34" max="34" width="35.5703125" bestFit="1" customWidth="1"/>
  </cols>
  <sheetData>
    <row r="1" spans="1:34" x14ac:dyDescent="0.25">
      <c r="A1" s="37" t="s">
        <v>82</v>
      </c>
      <c r="B1" s="38"/>
      <c r="AE1" t="s">
        <v>173</v>
      </c>
      <c r="AF1" t="s">
        <v>170</v>
      </c>
      <c r="AG1" t="s">
        <v>170</v>
      </c>
      <c r="AH1" t="s">
        <v>171</v>
      </c>
    </row>
    <row r="2" spans="1:34" x14ac:dyDescent="0.25">
      <c r="A2" s="8" t="s">
        <v>83</v>
      </c>
      <c r="B2" s="8" t="s">
        <v>84</v>
      </c>
      <c r="AE2" t="s">
        <v>156</v>
      </c>
      <c r="AF2" s="3">
        <f>SUMPRODUCT(--(tPanel_Export[CURATORS]=AE2),--(tPanel_Export[DATE_FROM]&gt;=$A$3),--(tPanel_Export[DATE_TO]&lt;=$B$3),tPanel_Export[SJ_PENET_SHT],--(tPanel_Export[CURATORS]=AE2),--(tPanel_Export[DATE_FROM]&gt;=$A$3),--(tPanel_Export[DATE_TO]&lt;=$B$3),tPanel_Export[TOTAL_COUNT_FACT])/SUMIFS(tPanel_Export[TOTAL_COUNT_FACT],tPanel_Export[CURATORS],AE2,tPanel_Export[DATE_FROM],"&gt;="&amp;$A$3,tPanel_Export[DATE_TO],"&lt;="&amp;$B$3)</f>
        <v>0.77459033164194635</v>
      </c>
      <c r="AG2" s="3">
        <f>AF2</f>
        <v>0.77459033164194635</v>
      </c>
      <c r="AH2" s="2">
        <f>AVERAGE($AG$2:$AG$8)</f>
        <v>0.74235861182100493</v>
      </c>
    </row>
    <row r="3" spans="1:34" x14ac:dyDescent="0.25">
      <c r="A3" s="7">
        <v>42005</v>
      </c>
      <c r="B3" s="7">
        <v>42369</v>
      </c>
      <c r="AE3" t="s">
        <v>153</v>
      </c>
      <c r="AF3" s="3">
        <f>SUMPRODUCT(--(tPanel_Export[CURATORS]=AE3),--(tPanel_Export[DATE_FROM]&gt;=$A$3),--(tPanel_Export[DATE_TO]&lt;=$B$3),tPanel_Export[SJ_PENET_SHT],--(tPanel_Export[CURATORS]=AE3),--(tPanel_Export[DATE_FROM]&gt;=$A$3),--(tPanel_Export[DATE_TO]&lt;=$B$3),tPanel_Export[TOTAL_COUNT_FACT])/SUMIFS(tPanel_Export[TOTAL_COUNT_FACT],tPanel_Export[CURATORS],AE3,tPanel_Export[DATE_FROM],"&gt;="&amp;$A$3,tPanel_Export[DATE_TO],"&lt;="&amp;$B$3)</f>
        <v>0.76193234888353945</v>
      </c>
      <c r="AG3" s="3">
        <f>AF3</f>
        <v>0.76193234888353945</v>
      </c>
      <c r="AH3" s="2">
        <f>AVERAGE($AG$2:$AG$8)</f>
        <v>0.74235861182100493</v>
      </c>
    </row>
    <row r="4" spans="1:34" x14ac:dyDescent="0.25">
      <c r="AE4" t="s">
        <v>152</v>
      </c>
      <c r="AF4" s="3">
        <f>SUMPRODUCT(--(tPanel_Export[CURATORS]=AE4),--(tPanel_Export[DATE_FROM]&gt;=$A$3),--(tPanel_Export[DATE_TO]&lt;=$B$3),tPanel_Export[SJ_PENET_SHT],--(tPanel_Export[CURATORS]=AE4),--(tPanel_Export[DATE_FROM]&gt;=$A$3),--(tPanel_Export[DATE_TO]&lt;=$B$3),tPanel_Export[TOTAL_COUNT_FACT])/SUMIFS(tPanel_Export[TOTAL_COUNT_FACT],tPanel_Export[CURATORS],AE4,tPanel_Export[DATE_FROM],"&gt;="&amp;$A$3,tPanel_Export[DATE_TO],"&lt;="&amp;$B$3)</f>
        <v>0.75172012917918407</v>
      </c>
      <c r="AG4" s="3">
        <f>AF4</f>
        <v>0.75172012917918407</v>
      </c>
      <c r="AH4" s="2">
        <f>AVERAGE($AG$2:$AG$8)</f>
        <v>0.74235861182100493</v>
      </c>
    </row>
    <row r="5" spans="1:34" x14ac:dyDescent="0.25">
      <c r="AE5" t="s">
        <v>154</v>
      </c>
      <c r="AF5" s="3">
        <f>SUMPRODUCT(--(tPanel_Export[CURATORS]=AE5),--(tPanel_Export[DATE_FROM]&gt;=$A$3),--(tPanel_Export[DATE_TO]&lt;=$B$3),tPanel_Export[SJ_PENET_SHT],--(tPanel_Export[CURATORS]=AE5),--(tPanel_Export[DATE_FROM]&gt;=$A$3),--(tPanel_Export[DATE_TO]&lt;=$B$3),tPanel_Export[TOTAL_COUNT_FACT])/SUMIFS(tPanel_Export[TOTAL_COUNT_FACT],tPanel_Export[CURATORS],AE5,tPanel_Export[DATE_FROM],"&gt;="&amp;$A$3,tPanel_Export[DATE_TO],"&lt;="&amp;$B$3)</f>
        <v>0.74071937428243406</v>
      </c>
      <c r="AG5" s="3">
        <f>AF5</f>
        <v>0.74071937428243406</v>
      </c>
      <c r="AH5" s="2">
        <f>AVERAGE($AG$2:$AG$8)</f>
        <v>0.74235861182100493</v>
      </c>
    </row>
    <row r="6" spans="1:34" x14ac:dyDescent="0.25">
      <c r="AE6" t="s">
        <v>151</v>
      </c>
      <c r="AF6" s="3">
        <f>SUMPRODUCT(--(tPanel_Export[CURATORS]=AE6),--(tPanel_Export[DATE_FROM]&gt;=$A$3),--(tPanel_Export[DATE_TO]&lt;=$B$3),tPanel_Export[SJ_PENET_SHT],--(tPanel_Export[CURATORS]=AE6),--(tPanel_Export[DATE_FROM]&gt;=$A$3),--(tPanel_Export[DATE_TO]&lt;=$B$3),tPanel_Export[TOTAL_COUNT_FACT])/SUMIFS(tPanel_Export[TOTAL_COUNT_FACT],tPanel_Export[CURATORS],AE6,tPanel_Export[DATE_FROM],"&gt;="&amp;$A$3,tPanel_Export[DATE_TO],"&lt;="&amp;$B$3)</f>
        <v>0.73474553177363267</v>
      </c>
      <c r="AG6" s="3">
        <f>AF6</f>
        <v>0.73474553177363267</v>
      </c>
      <c r="AH6" s="2">
        <f>AVERAGE($AG$2:$AG$8)</f>
        <v>0.74235861182100493</v>
      </c>
    </row>
    <row r="7" spans="1:34" x14ac:dyDescent="0.25">
      <c r="AE7" t="s">
        <v>157</v>
      </c>
      <c r="AF7" s="3">
        <f>SUMPRODUCT(--(tPanel_Export[CURATORS]=AE7),--(tPanel_Export[DATE_FROM]&gt;=$A$3),--(tPanel_Export[DATE_TO]&lt;=$B$3),tPanel_Export[SJ_PENET_SHT],--(tPanel_Export[CURATORS]=AE7),--(tPanel_Export[DATE_FROM]&gt;=$A$3),--(tPanel_Export[DATE_TO]&lt;=$B$3),tPanel_Export[TOTAL_COUNT_FACT])/SUMIFS(tPanel_Export[TOTAL_COUNT_FACT],tPanel_Export[CURATORS],AE7,tPanel_Export[DATE_FROM],"&gt;="&amp;$A$3,tPanel_Export[DATE_TO],"&lt;="&amp;$B$3)</f>
        <v>0.72356727622131489</v>
      </c>
      <c r="AG7" s="3">
        <f>AF7</f>
        <v>0.72356727622131489</v>
      </c>
      <c r="AH7" s="2">
        <f>AVERAGE($AG$2:$AG$8)</f>
        <v>0.74235861182100493</v>
      </c>
    </row>
    <row r="8" spans="1:34" x14ac:dyDescent="0.25">
      <c r="AE8" t="s">
        <v>155</v>
      </c>
      <c r="AF8" s="3">
        <f>SUMPRODUCT(--(tPanel_Export[CURATORS]=AE8),--(tPanel_Export[DATE_FROM]&gt;=$A$3),--(tPanel_Export[DATE_TO]&lt;=$B$3),tPanel_Export[SJ_PENET_SHT],--(tPanel_Export[CURATORS]=AE8),--(tPanel_Export[DATE_FROM]&gt;=$A$3),--(tPanel_Export[DATE_TO]&lt;=$B$3),tPanel_Export[TOTAL_COUNT_FACT])/SUMIFS(tPanel_Export[TOTAL_COUNT_FACT],tPanel_Export[CURATORS],AE8,tPanel_Export[DATE_FROM],"&gt;="&amp;$A$3,tPanel_Export[DATE_TO],"&lt;="&amp;$B$3)</f>
        <v>0.70923529076498337</v>
      </c>
      <c r="AG8" s="3">
        <f>AF8</f>
        <v>0.70923529076498337</v>
      </c>
      <c r="AH8" s="2">
        <f>AVERAGE($AG$2:$AG$8)</f>
        <v>0.74235861182100493</v>
      </c>
    </row>
    <row r="9" spans="1:34" x14ac:dyDescent="0.25">
      <c r="AF9" s="6"/>
      <c r="AG9" s="27"/>
    </row>
    <row r="10" spans="1:34" x14ac:dyDescent="0.25">
      <c r="AF10" s="6"/>
      <c r="AG10" s="27"/>
    </row>
    <row r="11" spans="1:34" x14ac:dyDescent="0.25">
      <c r="AF11" s="6"/>
      <c r="AG11" s="27"/>
    </row>
    <row r="12" spans="1:34" x14ac:dyDescent="0.25">
      <c r="AG12" s="27"/>
    </row>
    <row r="13" spans="1:34" x14ac:dyDescent="0.25">
      <c r="AG13" s="27"/>
    </row>
    <row r="14" spans="1:34" x14ac:dyDescent="0.25">
      <c r="AG14" s="27"/>
    </row>
    <row r="15" spans="1:34" x14ac:dyDescent="0.25">
      <c r="AG15" s="27"/>
    </row>
    <row r="16" spans="1:34" x14ac:dyDescent="0.25">
      <c r="AG16" s="27"/>
    </row>
    <row r="17" spans="32:33" x14ac:dyDescent="0.25">
      <c r="AG17" s="27"/>
    </row>
    <row r="18" spans="32:33" x14ac:dyDescent="0.25">
      <c r="AG18" s="27"/>
    </row>
    <row r="19" spans="32:33" x14ac:dyDescent="0.25">
      <c r="AF19" s="6"/>
      <c r="AG19" s="27"/>
    </row>
    <row r="20" spans="32:33" x14ac:dyDescent="0.25">
      <c r="AF20" s="6"/>
      <c r="AG20" s="27"/>
    </row>
    <row r="21" spans="32:33" x14ac:dyDescent="0.25">
      <c r="AF21" s="6"/>
      <c r="AG21" s="27"/>
    </row>
    <row r="22" spans="32:33" x14ac:dyDescent="0.25">
      <c r="AF22" s="6"/>
      <c r="AG22" s="27"/>
    </row>
    <row r="23" spans="32:33" x14ac:dyDescent="0.25">
      <c r="AF23" s="6"/>
      <c r="AG23" s="27"/>
    </row>
    <row r="24" spans="32:33" x14ac:dyDescent="0.25">
      <c r="AF24" s="6"/>
      <c r="AG24" s="27"/>
    </row>
    <row r="25" spans="32:33" x14ac:dyDescent="0.25">
      <c r="AF25" s="6"/>
      <c r="AG25" s="27"/>
    </row>
    <row r="26" spans="32:33" x14ac:dyDescent="0.25">
      <c r="AF26" s="6"/>
      <c r="AG26" s="27"/>
    </row>
    <row r="27" spans="32:33" x14ac:dyDescent="0.25">
      <c r="AF27" s="6"/>
      <c r="AG27" s="27"/>
    </row>
    <row r="28" spans="32:33" x14ac:dyDescent="0.25">
      <c r="AF28" s="6"/>
      <c r="AG28" s="27"/>
    </row>
    <row r="29" spans="32:33" x14ac:dyDescent="0.25">
      <c r="AF29" s="6"/>
      <c r="AG29" s="27"/>
    </row>
    <row r="30" spans="32:33" x14ac:dyDescent="0.25">
      <c r="AF30" s="6"/>
      <c r="AG30" s="27"/>
    </row>
    <row r="31" spans="32:33" x14ac:dyDescent="0.25">
      <c r="AF31" s="6"/>
      <c r="AG31" s="27"/>
    </row>
    <row r="32" spans="32:33" x14ac:dyDescent="0.25">
      <c r="AF32" s="6"/>
      <c r="AG32" s="27"/>
    </row>
    <row r="33" spans="32:33" x14ac:dyDescent="0.25">
      <c r="AF33" s="6"/>
      <c r="AG33" s="27"/>
    </row>
    <row r="34" spans="32:33" x14ac:dyDescent="0.25">
      <c r="AF34" s="6"/>
      <c r="AG34" s="27"/>
    </row>
    <row r="35" spans="32:33" x14ac:dyDescent="0.25">
      <c r="AF35" s="6"/>
      <c r="AG35" s="27"/>
    </row>
    <row r="36" spans="32:33" x14ac:dyDescent="0.25">
      <c r="AF36" s="6"/>
      <c r="AG36" s="27"/>
    </row>
    <row r="37" spans="32:33" x14ac:dyDescent="0.25">
      <c r="AF37" s="6"/>
      <c r="AG37" s="27"/>
    </row>
    <row r="38" spans="32:33" x14ac:dyDescent="0.25">
      <c r="AF38" s="6"/>
      <c r="AG38" s="27"/>
    </row>
    <row r="39" spans="32:33" x14ac:dyDescent="0.25">
      <c r="AF39" s="6"/>
      <c r="AG39" s="27"/>
    </row>
    <row r="40" spans="32:33" x14ac:dyDescent="0.25">
      <c r="AF40" s="6"/>
      <c r="AG40" s="27"/>
    </row>
    <row r="41" spans="32:33" x14ac:dyDescent="0.25">
      <c r="AF41" s="6"/>
      <c r="AG41" s="27"/>
    </row>
    <row r="42" spans="32:33" x14ac:dyDescent="0.25">
      <c r="AF42" s="6"/>
      <c r="AG42" s="27"/>
    </row>
    <row r="43" spans="32:33" x14ac:dyDescent="0.25">
      <c r="AF43" s="6"/>
      <c r="AG43" s="27"/>
    </row>
    <row r="44" spans="32:33" x14ac:dyDescent="0.25">
      <c r="AF44" s="6"/>
      <c r="AG44" s="27"/>
    </row>
    <row r="45" spans="32:33" x14ac:dyDescent="0.25">
      <c r="AF45" s="6"/>
      <c r="AG45" s="27"/>
    </row>
    <row r="46" spans="32:33" x14ac:dyDescent="0.25">
      <c r="AF46" s="6"/>
      <c r="AG46" s="27"/>
    </row>
    <row r="47" spans="32:33" x14ac:dyDescent="0.25">
      <c r="AF47" s="6"/>
      <c r="AG47" s="27"/>
    </row>
    <row r="48" spans="32:33" x14ac:dyDescent="0.25">
      <c r="AF48" s="6"/>
      <c r="AG48" s="27"/>
    </row>
    <row r="49" spans="32:33" x14ac:dyDescent="0.25">
      <c r="AF49" s="6"/>
      <c r="AG49" s="27"/>
    </row>
    <row r="50" spans="32:33" x14ac:dyDescent="0.25">
      <c r="AF50" s="6"/>
      <c r="AG50" s="27"/>
    </row>
    <row r="51" spans="32:33" x14ac:dyDescent="0.25">
      <c r="AF51" s="6"/>
      <c r="AG51" s="27"/>
    </row>
    <row r="52" spans="32:33" x14ac:dyDescent="0.25">
      <c r="AF52" s="6"/>
      <c r="AG52" s="27"/>
    </row>
    <row r="53" spans="32:33" x14ac:dyDescent="0.25">
      <c r="AF53" s="6"/>
      <c r="AG53" s="27"/>
    </row>
    <row r="54" spans="32:33" x14ac:dyDescent="0.25">
      <c r="AF54" s="6"/>
      <c r="AG54" s="27"/>
    </row>
    <row r="55" spans="32:33" x14ac:dyDescent="0.25">
      <c r="AF55" s="6"/>
      <c r="AG55" s="27"/>
    </row>
    <row r="56" spans="32:33" x14ac:dyDescent="0.25">
      <c r="AF56" s="6"/>
      <c r="AG56" s="27"/>
    </row>
    <row r="57" spans="32:33" x14ac:dyDescent="0.25">
      <c r="AF57" s="6"/>
      <c r="AG57" s="27"/>
    </row>
    <row r="58" spans="32:33" x14ac:dyDescent="0.25">
      <c r="AF58" s="6"/>
      <c r="AG58" s="27"/>
    </row>
    <row r="59" spans="32:33" x14ac:dyDescent="0.25">
      <c r="AF59" s="6"/>
      <c r="AG59" s="27"/>
    </row>
    <row r="60" spans="32:33" x14ac:dyDescent="0.25">
      <c r="AF60" s="6"/>
      <c r="AG60" s="27"/>
    </row>
    <row r="61" spans="32:33" x14ac:dyDescent="0.25">
      <c r="AF61" s="6"/>
      <c r="AG61" s="27"/>
    </row>
  </sheetData>
  <autoFilter ref="AE1:AH8">
    <sortState ref="AE2:AH8">
      <sortCondition descending="1" ref="AG1:AG61"/>
    </sortState>
  </autoFilter>
  <mergeCells count="1">
    <mergeCell ref="A1:B1"/>
  </mergeCells>
  <dataValidations count="2">
    <dataValidation type="list" allowBlank="1" showInputMessage="1" showErrorMessage="1" sqref="A3">
      <formula1>date_from_list</formula1>
    </dataValidation>
    <dataValidation type="list" allowBlank="1" showInputMessage="1" showErrorMessage="1" sqref="B3">
      <formula1>date_to_list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UKURChartSort">
                <anchor moveWithCells="1" sizeWithCells="1">
                  <from>
                    <xdr:col>2</xdr:col>
                    <xdr:colOff>190500</xdr:colOff>
                    <xdr:row>0</xdr:row>
                    <xdr:rowOff>85725</xdr:rowOff>
                  </from>
                  <to>
                    <xdr:col>6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92D050"/>
  </sheetPr>
  <dimension ref="A1:BR65"/>
  <sheetViews>
    <sheetView zoomScale="85" zoomScaleNormal="85" workbookViewId="0">
      <pane ySplit="1" topLeftCell="A2" activePane="bottomLeft" state="frozen"/>
      <selection pane="bottomLeft"/>
    </sheetView>
  </sheetViews>
  <sheetFormatPr defaultRowHeight="15" x14ac:dyDescent="0.25"/>
  <cols>
    <col min="1" max="2" width="11.85546875" customWidth="1"/>
    <col min="3" max="3" width="18.28515625" bestFit="1" customWidth="1"/>
    <col min="4" max="4" width="10.7109375" style="1" customWidth="1"/>
    <col min="5" max="5" width="10.7109375" customWidth="1"/>
    <col min="6" max="6" width="9.140625" style="3" customWidth="1"/>
    <col min="7" max="8" width="14" style="1" customWidth="1"/>
    <col min="9" max="9" width="9.140625" style="3" customWidth="1"/>
    <col min="10" max="11" width="9.85546875" style="1" customWidth="1"/>
    <col min="12" max="12" width="10" customWidth="1"/>
    <col min="13" max="13" width="9.140625" style="3" customWidth="1"/>
    <col min="14" max="14" width="9.85546875" style="1" customWidth="1"/>
    <col min="15" max="15" width="9.28515625" customWidth="1"/>
    <col min="16" max="16" width="9.140625" style="3" customWidth="1"/>
    <col min="17" max="17" width="9.85546875" style="1" customWidth="1"/>
    <col min="18" max="18" width="9.140625" customWidth="1"/>
    <col min="19" max="19" width="9.140625" style="3" customWidth="1"/>
    <col min="20" max="21" width="10" customWidth="1"/>
    <col min="22" max="34" width="9.140625" style="3" customWidth="1"/>
    <col min="35" max="38" width="9.140625" style="17" customWidth="1"/>
    <col min="39" max="39" width="12.85546875" customWidth="1"/>
    <col min="40" max="40" width="12.140625" style="10" customWidth="1"/>
    <col min="43" max="44" width="11.5703125" customWidth="1"/>
    <col min="45" max="45" width="9.140625" customWidth="1"/>
    <col min="46" max="47" width="10.28515625" bestFit="1" customWidth="1"/>
    <col min="50" max="50" width="10.28515625" bestFit="1" customWidth="1"/>
    <col min="52" max="52" width="10.28515625" bestFit="1" customWidth="1"/>
    <col min="54" max="54" width="10.28515625" bestFit="1" customWidth="1"/>
    <col min="55" max="55" width="15.5703125" customWidth="1"/>
  </cols>
  <sheetData>
    <row r="1" spans="1:70" ht="87" customHeight="1" x14ac:dyDescent="0.25">
      <c r="A1" s="4" t="s">
        <v>80</v>
      </c>
      <c r="B1" s="4" t="s">
        <v>81</v>
      </c>
      <c r="C1" s="4" t="s">
        <v>0</v>
      </c>
      <c r="D1" s="4" t="s">
        <v>64</v>
      </c>
      <c r="E1" s="4" t="s">
        <v>65</v>
      </c>
      <c r="F1" s="14" t="s">
        <v>1</v>
      </c>
      <c r="G1" s="15" t="s">
        <v>66</v>
      </c>
      <c r="H1" s="15" t="s">
        <v>67</v>
      </c>
      <c r="I1" s="14" t="s">
        <v>2</v>
      </c>
      <c r="J1" s="15" t="s">
        <v>3</v>
      </c>
      <c r="K1" s="15" t="s">
        <v>68</v>
      </c>
      <c r="L1" s="4" t="s">
        <v>69</v>
      </c>
      <c r="M1" s="14" t="s">
        <v>70</v>
      </c>
      <c r="N1" s="15" t="s">
        <v>71</v>
      </c>
      <c r="O1" s="4" t="s">
        <v>72</v>
      </c>
      <c r="P1" s="14" t="s">
        <v>73</v>
      </c>
      <c r="Q1" s="15" t="s">
        <v>74</v>
      </c>
      <c r="R1" s="4" t="s">
        <v>75</v>
      </c>
      <c r="S1" s="14" t="s">
        <v>76</v>
      </c>
      <c r="T1" s="4" t="s">
        <v>77</v>
      </c>
      <c r="U1" s="4" t="s">
        <v>78</v>
      </c>
      <c r="V1" s="14" t="s">
        <v>79</v>
      </c>
      <c r="W1" s="14" t="s">
        <v>107</v>
      </c>
      <c r="X1" s="14" t="s">
        <v>108</v>
      </c>
      <c r="Y1" s="14" t="s">
        <v>109</v>
      </c>
      <c r="Z1" s="14" t="s">
        <v>110</v>
      </c>
      <c r="AA1" s="14" t="s">
        <v>111</v>
      </c>
      <c r="AB1" s="14" t="s">
        <v>112</v>
      </c>
      <c r="AC1" s="14" t="s">
        <v>113</v>
      </c>
      <c r="AD1" s="14" t="s">
        <v>114</v>
      </c>
      <c r="AE1" s="14" t="s">
        <v>115</v>
      </c>
      <c r="AF1" s="14" t="s">
        <v>116</v>
      </c>
      <c r="AG1" s="14" t="s">
        <v>117</v>
      </c>
      <c r="AH1" s="14" t="s">
        <v>118</v>
      </c>
      <c r="AI1" s="16" t="s">
        <v>131</v>
      </c>
      <c r="AJ1" s="16" t="s">
        <v>130</v>
      </c>
      <c r="AK1" s="16" t="s">
        <v>160</v>
      </c>
      <c r="AL1" s="16" t="s">
        <v>161</v>
      </c>
      <c r="AM1" s="16" t="s">
        <v>167</v>
      </c>
      <c r="AN1" s="16" t="s">
        <v>172</v>
      </c>
      <c r="AO1" s="11" t="s">
        <v>174</v>
      </c>
      <c r="AP1" s="11" t="s">
        <v>175</v>
      </c>
      <c r="AQ1" s="11" t="s">
        <v>101</v>
      </c>
      <c r="AR1" s="13" t="s">
        <v>103</v>
      </c>
      <c r="AS1" s="11" t="s">
        <v>104</v>
      </c>
      <c r="AT1" s="11" t="s">
        <v>106</v>
      </c>
      <c r="AU1" s="11" t="s">
        <v>132</v>
      </c>
      <c r="AV1" s="11" t="s">
        <v>133</v>
      </c>
      <c r="AW1" s="11" t="s">
        <v>168</v>
      </c>
      <c r="AX1" s="11" t="s">
        <v>136</v>
      </c>
      <c r="AY1" s="11" t="s">
        <v>137</v>
      </c>
      <c r="AZ1" s="11" t="s">
        <v>138</v>
      </c>
      <c r="BA1" s="11" t="s">
        <v>139</v>
      </c>
      <c r="BB1" s="11" t="s">
        <v>140</v>
      </c>
      <c r="BC1" s="11" t="s">
        <v>141</v>
      </c>
      <c r="BD1" s="11" t="s">
        <v>142</v>
      </c>
      <c r="BE1" s="11" t="s">
        <v>143</v>
      </c>
      <c r="BF1" s="11" t="s">
        <v>144</v>
      </c>
      <c r="BG1" s="11" t="s">
        <v>145</v>
      </c>
      <c r="BH1" s="11" t="s">
        <v>146</v>
      </c>
      <c r="BI1" s="11" t="s">
        <v>147</v>
      </c>
      <c r="BJ1" s="11" t="s">
        <v>179</v>
      </c>
      <c r="BK1" s="11" t="s">
        <v>180</v>
      </c>
      <c r="BL1" s="26" t="s">
        <v>158</v>
      </c>
      <c r="BR1" s="31">
        <v>1</v>
      </c>
    </row>
    <row r="2" spans="1:70" x14ac:dyDescent="0.25">
      <c r="A2" s="5">
        <v>42005</v>
      </c>
      <c r="B2" s="5">
        <v>42369</v>
      </c>
      <c r="C2" t="s">
        <v>22</v>
      </c>
      <c r="E2" s="1">
        <v>171</v>
      </c>
      <c r="H2" s="1">
        <v>71897589.680000007</v>
      </c>
      <c r="J2" s="1">
        <v>420453.74081871298</v>
      </c>
      <c r="L2" s="1">
        <v>148</v>
      </c>
      <c r="O2" s="1">
        <v>18</v>
      </c>
      <c r="R2" s="1">
        <v>4</v>
      </c>
      <c r="T2" s="1"/>
      <c r="U2" s="1">
        <v>0</v>
      </c>
      <c r="V2" s="3">
        <v>0</v>
      </c>
      <c r="W2" s="28">
        <v>0</v>
      </c>
      <c r="X2" s="28">
        <v>0</v>
      </c>
      <c r="Y2" s="28">
        <v>0</v>
      </c>
      <c r="Z2" s="28">
        <v>0</v>
      </c>
      <c r="AA2" s="28">
        <v>0.80701800000000001</v>
      </c>
      <c r="AB2" s="28">
        <v>0.64852200000000004</v>
      </c>
      <c r="AC2" s="28">
        <v>0</v>
      </c>
      <c r="AD2" s="28">
        <v>0</v>
      </c>
      <c r="AE2" s="28">
        <v>0</v>
      </c>
      <c r="AF2" s="28">
        <v>0</v>
      </c>
      <c r="AG2" s="28">
        <v>0</v>
      </c>
      <c r="AH2" s="28">
        <v>0</v>
      </c>
      <c r="AI2" s="29">
        <v>18.995353999999999</v>
      </c>
      <c r="AJ2" s="29">
        <v>42.8</v>
      </c>
      <c r="AK2" s="29"/>
      <c r="AL2" s="29">
        <v>1</v>
      </c>
      <c r="AM2" s="29">
        <v>0.36680000000000001</v>
      </c>
      <c r="AN2" s="29">
        <v>105371455.78</v>
      </c>
      <c r="AO2" s="29">
        <f>tPanel_Export[[#This Row],[ASP_D_COUNT_PLAN]]+tPanel_Export[[#This Row],[C2C_COUNT_PLAN]]</f>
        <v>0</v>
      </c>
      <c r="AP2" s="29">
        <f>tPanel_Export[[#This Row],[ASP_D_COUNT_FACT]]+tPanel_Export[[#This Row],[C2C_COUNT_FACT]]</f>
        <v>4</v>
      </c>
      <c r="AQ2" s="1">
        <f>tPanel_Export[[#This Row],[MEDIUM_CHECK]]*tPanel_Export[[#This Row],[TOTAL_COUNT_FACT]]</f>
        <v>71897589.679999918</v>
      </c>
      <c r="AR2" s="10">
        <f>YEAR(tPanel_Export[[#This Row],[DATE_TO]])</f>
        <v>2015</v>
      </c>
      <c r="AS2" s="1">
        <f>MONTH(tPanel_Export[[#This Row],[DATE_TO]])</f>
        <v>12</v>
      </c>
      <c r="AT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" s="1">
        <f>tPanel_Export[[#This Row],[STAVKAGP]]*tPanel_Export[[#This Row],[TOTAL_SUM_FACT]]</f>
        <v>1365720167.7183468</v>
      </c>
      <c r="AV2" s="1">
        <f>tPanel_Export[[#This Row],[SROKKRED]]*tPanel_Export[[#This Row],[TOTAL_SUM_FACT]]</f>
        <v>3077216838.3039999</v>
      </c>
      <c r="AW2" s="1">
        <f>tPanel_Export[[#This Row],[SV_PV]]*tPanel_Export[[#This Row],[VEHICLE_COST_RUR_AMT]]</f>
        <v>38650249.980103999</v>
      </c>
      <c r="AX2" s="1">
        <f>tPanel_Export[[#This Row],[VKASKO_PENET_SHT]]*tPanel_Export[[#This Row],[TOTAL_COUNT_FACT]]</f>
        <v>0</v>
      </c>
      <c r="AY2" s="1">
        <f>tPanel_Export[[#This Row],[VKASKO_PENET_RUB]]*tPanel_Export[[#This Row],[TOTAL_SUM_FACT]]</f>
        <v>0</v>
      </c>
      <c r="AZ2" s="1">
        <f>tPanel_Export[[#This Row],[MKASKO_PENET_SHT]]*tPanel_Export[[#This Row],[TOTAL_COUNT_FACT]]</f>
        <v>0</v>
      </c>
      <c r="BA2" s="1">
        <f>tPanel_Export[[#This Row],[MKASKO_PENET_RUB]]*tPanel_Export[[#This Row],[TOTAL_SUM_FACT]]</f>
        <v>0</v>
      </c>
      <c r="BB2" s="1">
        <f>tPanel_Export[[#This Row],[SJ_PENET_SHT]]*tPanel_Export[[#This Row],[TOTAL_COUNT_FACT]]</f>
        <v>138.000078</v>
      </c>
      <c r="BC2" s="1">
        <f>tPanel_Export[[#This Row],[SJ_PENET_RUB]]*tPanel_Export[[#This Row],[TOTAL_SUM_FACT]]</f>
        <v>46627168.654452965</v>
      </c>
      <c r="BD2" s="1">
        <f>tPanel_Export[[#This Row],[DKASKO_PENET_SHT]]*tPanel_Export[[#This Row],[TOTAL_COUNT_FACT]]</f>
        <v>0</v>
      </c>
      <c r="BE2" s="1">
        <f>tPanel_Export[[#This Row],[DKASKO_PENET_RUB]]*tPanel_Export[[#This Row],[TOTAL_SUM_FACT]]</f>
        <v>0</v>
      </c>
      <c r="BF2" s="1">
        <f>tPanel_Export[[#This Row],[RAMK_PENET_SHT]]*tPanel_Export[[#This Row],[TOTAL_COUNT_FACT]]</f>
        <v>0</v>
      </c>
      <c r="BG2" s="1">
        <f>tPanel_Export[[#This Row],[RAMK_PENET_RUB]]*tPanel_Export[[#This Row],[TOTAL_SUM_FACT]]</f>
        <v>0</v>
      </c>
      <c r="BH2" s="1">
        <f>tPanel_Export[[#This Row],[AVL_PENET_SHT]]*tPanel_Export[[#This Row],[TOTAL_COUNT_FACT]]</f>
        <v>0</v>
      </c>
      <c r="BI2" s="1">
        <f>tPanel_Export[[#This Row],[AVL_PENET_RUB]]*tPanel_Export[[#This Row],[TOTAL_SUM_FACT]]</f>
        <v>0</v>
      </c>
      <c r="BJ2" s="1">
        <f>1</f>
        <v>1</v>
      </c>
      <c r="BK2" s="32">
        <f>IFERROR(IF(VLOOKUP(tPanel_Export[[#This Row],[DATE_TO]],Extra2!A:C,3,0)="месяц закрыт",1,$BR$1),1)</f>
        <v>1</v>
      </c>
      <c r="BL2" s="1" t="str">
        <f>VLOOKUP(tPanel_Export[[#This Row],[MAK]],Curators!A:B,2,0)</f>
        <v>Чаусов</v>
      </c>
    </row>
    <row r="3" spans="1:70" x14ac:dyDescent="0.25">
      <c r="A3" s="5">
        <v>42005</v>
      </c>
      <c r="B3" s="5">
        <v>42369</v>
      </c>
      <c r="C3" t="s">
        <v>187</v>
      </c>
      <c r="E3">
        <v>91</v>
      </c>
      <c r="H3" s="1">
        <v>66061833.439999998</v>
      </c>
      <c r="J3" s="1">
        <v>725954.21362637402</v>
      </c>
      <c r="L3">
        <v>43</v>
      </c>
      <c r="O3">
        <v>27</v>
      </c>
      <c r="R3">
        <v>4</v>
      </c>
      <c r="U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0.62637399999999999</v>
      </c>
      <c r="AB3" s="3">
        <v>0.52212999999999998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17">
        <v>18.245531</v>
      </c>
      <c r="AJ3" s="17">
        <v>48.73</v>
      </c>
      <c r="AL3" s="17">
        <v>17</v>
      </c>
      <c r="AM3">
        <v>0.49199999999999999</v>
      </c>
      <c r="AN3" s="10">
        <v>117537443.81</v>
      </c>
      <c r="AO3" s="30">
        <f>tPanel_Export[[#This Row],[ASP_D_COUNT_PLAN]]+tPanel_Export[[#This Row],[C2C_COUNT_PLAN]]</f>
        <v>0</v>
      </c>
      <c r="AP3" s="30">
        <f>tPanel_Export[[#This Row],[ASP_D_COUNT_FACT]]+tPanel_Export[[#This Row],[C2C_COUNT_FACT]]</f>
        <v>4</v>
      </c>
      <c r="AQ3" s="1">
        <f>tPanel_Export[[#This Row],[MEDIUM_CHECK]]*tPanel_Export[[#This Row],[TOTAL_COUNT_FACT]]</f>
        <v>66061833.440000035</v>
      </c>
      <c r="AR3" s="10">
        <f>YEAR(tPanel_Export[[#This Row],[DATE_TO]])</f>
        <v>2015</v>
      </c>
      <c r="AS3" s="1">
        <f>MONTH(tPanel_Export[[#This Row],[DATE_TO]])</f>
        <v>12</v>
      </c>
      <c r="AT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" s="1">
        <f>tPanel_Export[[#This Row],[STAVKAGP]]*tPanel_Export[[#This Row],[TOTAL_SUM_FACT]]</f>
        <v>1205333229.9463565</v>
      </c>
      <c r="AV3" s="1">
        <f>tPanel_Export[[#This Row],[SROKKRED]]*tPanel_Export[[#This Row],[TOTAL_SUM_FACT]]</f>
        <v>3219193143.5311995</v>
      </c>
      <c r="AW3" s="1">
        <f>tPanel_Export[[#This Row],[SV_PV]]*tPanel_Export[[#This Row],[VEHICLE_COST_RUR_AMT]]</f>
        <v>57828422.354520001</v>
      </c>
      <c r="AX3" s="1">
        <f>tPanel_Export[[#This Row],[VKASKO_PENET_SHT]]*tPanel_Export[[#This Row],[TOTAL_COUNT_FACT]]</f>
        <v>0</v>
      </c>
      <c r="AY3" s="1">
        <f>tPanel_Export[[#This Row],[VKASKO_PENET_RUB]]*tPanel_Export[[#This Row],[TOTAL_SUM_FACT]]</f>
        <v>0</v>
      </c>
      <c r="AZ3" s="1">
        <f>tPanel_Export[[#This Row],[MKASKO_PENET_SHT]]*tPanel_Export[[#This Row],[TOTAL_COUNT_FACT]]</f>
        <v>0</v>
      </c>
      <c r="BA3" s="1">
        <f>tPanel_Export[[#This Row],[MKASKO_PENET_RUB]]*tPanel_Export[[#This Row],[TOTAL_SUM_FACT]]</f>
        <v>0</v>
      </c>
      <c r="BB3" s="1">
        <f>tPanel_Export[[#This Row],[SJ_PENET_SHT]]*tPanel_Export[[#This Row],[TOTAL_COUNT_FACT]]</f>
        <v>57.000033999999999</v>
      </c>
      <c r="BC3" s="1">
        <f>tPanel_Export[[#This Row],[SJ_PENET_RUB]]*tPanel_Export[[#This Row],[TOTAL_SUM_FACT]]</f>
        <v>34492865.094027199</v>
      </c>
      <c r="BD3" s="1">
        <f>tPanel_Export[[#This Row],[DKASKO_PENET_SHT]]*tPanel_Export[[#This Row],[TOTAL_COUNT_FACT]]</f>
        <v>0</v>
      </c>
      <c r="BE3" s="1">
        <f>tPanel_Export[[#This Row],[DKASKO_PENET_RUB]]*tPanel_Export[[#This Row],[TOTAL_SUM_FACT]]</f>
        <v>0</v>
      </c>
      <c r="BF3" s="1">
        <f>tPanel_Export[[#This Row],[RAMK_PENET_SHT]]*tPanel_Export[[#This Row],[TOTAL_COUNT_FACT]]</f>
        <v>0</v>
      </c>
      <c r="BG3" s="1">
        <f>tPanel_Export[[#This Row],[RAMK_PENET_RUB]]*tPanel_Export[[#This Row],[TOTAL_SUM_FACT]]</f>
        <v>0</v>
      </c>
      <c r="BH3" s="1">
        <f>tPanel_Export[[#This Row],[AVL_PENET_SHT]]*tPanel_Export[[#This Row],[TOTAL_COUNT_FACT]]</f>
        <v>0</v>
      </c>
      <c r="BI3" s="1">
        <f>tPanel_Export[[#This Row],[AVL_PENET_RUB]]*tPanel_Export[[#This Row],[TOTAL_SUM_FACT]]</f>
        <v>0</v>
      </c>
      <c r="BJ3" s="1">
        <f>1</f>
        <v>1</v>
      </c>
      <c r="BK3" s="32">
        <f>IFERROR(IF(VLOOKUP(tPanel_Export[[#This Row],[DATE_TO]],Extra2!A:C,3,0)="месяц закрыт",1,$BR$1),1)</f>
        <v>1</v>
      </c>
      <c r="BL3" s="1" t="str">
        <f>VLOOKUP(tPanel_Export[[#This Row],[MAK]],Curators!A:B,2,0)</f>
        <v>-</v>
      </c>
    </row>
    <row r="4" spans="1:70" x14ac:dyDescent="0.25">
      <c r="A4" s="5">
        <v>42005</v>
      </c>
      <c r="B4" s="5">
        <v>42369</v>
      </c>
      <c r="C4" t="s">
        <v>13</v>
      </c>
      <c r="E4">
        <v>1644</v>
      </c>
      <c r="H4" s="1">
        <v>715144303.00999999</v>
      </c>
      <c r="J4" s="1">
        <v>435002.61740267603</v>
      </c>
      <c r="L4">
        <v>1262</v>
      </c>
      <c r="O4">
        <v>270</v>
      </c>
      <c r="R4">
        <v>19</v>
      </c>
      <c r="U4">
        <v>0</v>
      </c>
      <c r="V4" s="3">
        <v>0</v>
      </c>
      <c r="W4" s="3">
        <v>5.0290000000000001E-2</v>
      </c>
      <c r="X4" s="3">
        <v>4.6524999999999997E-2</v>
      </c>
      <c r="Y4" s="3">
        <v>0</v>
      </c>
      <c r="Z4" s="3">
        <v>0</v>
      </c>
      <c r="AA4" s="3">
        <v>0.756691</v>
      </c>
      <c r="AB4" s="3">
        <v>0.634073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17">
        <v>18.591329200000001</v>
      </c>
      <c r="AJ4" s="17">
        <v>41.86</v>
      </c>
      <c r="AL4" s="17">
        <v>93</v>
      </c>
      <c r="AM4">
        <v>0.41670000000000001</v>
      </c>
      <c r="AN4" s="10">
        <v>1103334920.73</v>
      </c>
      <c r="AO4" s="30">
        <f>tPanel_Export[[#This Row],[ASP_D_COUNT_PLAN]]+tPanel_Export[[#This Row],[C2C_COUNT_PLAN]]</f>
        <v>0</v>
      </c>
      <c r="AP4" s="30">
        <f>tPanel_Export[[#This Row],[ASP_D_COUNT_FACT]]+tPanel_Export[[#This Row],[C2C_COUNT_FACT]]</f>
        <v>19</v>
      </c>
      <c r="AQ4" s="1">
        <f>tPanel_Export[[#This Row],[MEDIUM_CHECK]]*tPanel_Export[[#This Row],[TOTAL_COUNT_FACT]]</f>
        <v>715144303.00999939</v>
      </c>
      <c r="AR4" s="10">
        <f>YEAR(tPanel_Export[[#This Row],[DATE_TO]])</f>
        <v>2015</v>
      </c>
      <c r="AS4" s="1">
        <f>MONTH(tPanel_Export[[#This Row],[DATE_TO]])</f>
        <v>12</v>
      </c>
      <c r="AT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" s="1">
        <f>tPanel_Export[[#This Row],[STAVKAGP]]*tPanel_Export[[#This Row],[TOTAL_SUM_FACT]]</f>
        <v>13295483162.76346</v>
      </c>
      <c r="AV4" s="1">
        <f>tPanel_Export[[#This Row],[SROKKRED]]*tPanel_Export[[#This Row],[TOTAL_SUM_FACT]]</f>
        <v>29935940523.9986</v>
      </c>
      <c r="AW4" s="1">
        <f>tPanel_Export[[#This Row],[SV_PV]]*tPanel_Export[[#This Row],[VEHICLE_COST_RUR_AMT]]</f>
        <v>459759661.46819103</v>
      </c>
      <c r="AX4" s="1">
        <f>tPanel_Export[[#This Row],[VKASKO_PENET_SHT]]*tPanel_Export[[#This Row],[TOTAL_COUNT_FACT]]</f>
        <v>82.676760000000002</v>
      </c>
      <c r="AY4" s="1">
        <f>tPanel_Export[[#This Row],[VKASKO_PENET_RUB]]*tPanel_Export[[#This Row],[TOTAL_SUM_FACT]]</f>
        <v>33272088.697540246</v>
      </c>
      <c r="AZ4" s="1">
        <f>tPanel_Export[[#This Row],[MKASKO_PENET_SHT]]*tPanel_Export[[#This Row],[TOTAL_COUNT_FACT]]</f>
        <v>0</v>
      </c>
      <c r="BA4" s="1">
        <f>tPanel_Export[[#This Row],[MKASKO_PENET_RUB]]*tPanel_Export[[#This Row],[TOTAL_SUM_FACT]]</f>
        <v>0</v>
      </c>
      <c r="BB4" s="1">
        <f>tPanel_Export[[#This Row],[SJ_PENET_SHT]]*tPanel_Export[[#This Row],[TOTAL_COUNT_FACT]]</f>
        <v>1244.000004</v>
      </c>
      <c r="BC4" s="1">
        <f>tPanel_Export[[#This Row],[SJ_PENET_RUB]]*tPanel_Export[[#This Row],[TOTAL_SUM_FACT]]</f>
        <v>453453693.64245975</v>
      </c>
      <c r="BD4" s="1">
        <f>tPanel_Export[[#This Row],[DKASKO_PENET_SHT]]*tPanel_Export[[#This Row],[TOTAL_COUNT_FACT]]</f>
        <v>0</v>
      </c>
      <c r="BE4" s="1">
        <f>tPanel_Export[[#This Row],[DKASKO_PENET_RUB]]*tPanel_Export[[#This Row],[TOTAL_SUM_FACT]]</f>
        <v>0</v>
      </c>
      <c r="BF4" s="1">
        <f>tPanel_Export[[#This Row],[RAMK_PENET_SHT]]*tPanel_Export[[#This Row],[TOTAL_COUNT_FACT]]</f>
        <v>0</v>
      </c>
      <c r="BG4" s="1">
        <f>tPanel_Export[[#This Row],[RAMK_PENET_RUB]]*tPanel_Export[[#This Row],[TOTAL_SUM_FACT]]</f>
        <v>0</v>
      </c>
      <c r="BH4" s="1">
        <f>tPanel_Export[[#This Row],[AVL_PENET_SHT]]*tPanel_Export[[#This Row],[TOTAL_COUNT_FACT]]</f>
        <v>0</v>
      </c>
      <c r="BI4" s="1">
        <f>tPanel_Export[[#This Row],[AVL_PENET_RUB]]*tPanel_Export[[#This Row],[TOTAL_SUM_FACT]]</f>
        <v>0</v>
      </c>
      <c r="BJ4" s="1">
        <f>1</f>
        <v>1</v>
      </c>
      <c r="BK4" s="32">
        <f>IFERROR(IF(VLOOKUP(tPanel_Export[[#This Row],[DATE_TO]],Extra2!A:C,3,0)="месяц закрыт",1,$BR$1),1)</f>
        <v>1</v>
      </c>
      <c r="BL4" s="1" t="str">
        <f>VLOOKUP(tPanel_Export[[#This Row],[MAK]],Curators!A:B,2,0)</f>
        <v>Чаусов</v>
      </c>
    </row>
    <row r="5" spans="1:70" x14ac:dyDescent="0.25">
      <c r="A5" s="5">
        <v>42005</v>
      </c>
      <c r="B5" s="5">
        <v>42369</v>
      </c>
      <c r="C5" t="s">
        <v>52</v>
      </c>
      <c r="E5">
        <v>526</v>
      </c>
      <c r="H5" s="1">
        <v>292378482.64999998</v>
      </c>
      <c r="J5" s="1">
        <v>555852.62861216697</v>
      </c>
      <c r="L5">
        <v>359</v>
      </c>
      <c r="O5">
        <v>121</v>
      </c>
      <c r="R5">
        <v>21</v>
      </c>
      <c r="U5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0.71672999999999998</v>
      </c>
      <c r="AB5" s="3">
        <v>0.640486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17">
        <v>16.9855862</v>
      </c>
      <c r="AJ5" s="17">
        <v>44.32</v>
      </c>
      <c r="AL5" s="17">
        <v>25</v>
      </c>
      <c r="AM5">
        <v>0.44979999999999998</v>
      </c>
      <c r="AN5" s="10">
        <v>478926911.80000001</v>
      </c>
      <c r="AO5" s="30">
        <f>tPanel_Export[[#This Row],[ASP_D_COUNT_PLAN]]+tPanel_Export[[#This Row],[C2C_COUNT_PLAN]]</f>
        <v>0</v>
      </c>
      <c r="AP5" s="30">
        <f>tPanel_Export[[#This Row],[ASP_D_COUNT_FACT]]+tPanel_Export[[#This Row],[C2C_COUNT_FACT]]</f>
        <v>21</v>
      </c>
      <c r="AQ5" s="1">
        <f>tPanel_Export[[#This Row],[MEDIUM_CHECK]]*tPanel_Export[[#This Row],[TOTAL_COUNT_FACT]]</f>
        <v>292378482.6499998</v>
      </c>
      <c r="AR5" s="10">
        <f>YEAR(tPanel_Export[[#This Row],[DATE_TO]])</f>
        <v>2015</v>
      </c>
      <c r="AS5" s="1">
        <f>MONTH(tPanel_Export[[#This Row],[DATE_TO]])</f>
        <v>12</v>
      </c>
      <c r="AT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" s="1">
        <f>tPanel_Export[[#This Row],[STAVKAGP]]*tPanel_Export[[#This Row],[TOTAL_SUM_FACT]]</f>
        <v>4966219920.0767794</v>
      </c>
      <c r="AV5" s="1">
        <f>tPanel_Export[[#This Row],[SROKKRED]]*tPanel_Export[[#This Row],[TOTAL_SUM_FACT]]</f>
        <v>12958214351.047998</v>
      </c>
      <c r="AW5" s="1">
        <f>tPanel_Export[[#This Row],[SV_PV]]*tPanel_Export[[#This Row],[VEHICLE_COST_RUR_AMT]]</f>
        <v>215421324.92763999</v>
      </c>
      <c r="AX5" s="1">
        <f>tPanel_Export[[#This Row],[VKASKO_PENET_SHT]]*tPanel_Export[[#This Row],[TOTAL_COUNT_FACT]]</f>
        <v>0</v>
      </c>
      <c r="AY5" s="1">
        <f>tPanel_Export[[#This Row],[VKASKO_PENET_RUB]]*tPanel_Export[[#This Row],[TOTAL_SUM_FACT]]</f>
        <v>0</v>
      </c>
      <c r="AZ5" s="1">
        <f>tPanel_Export[[#This Row],[MKASKO_PENET_SHT]]*tPanel_Export[[#This Row],[TOTAL_COUNT_FACT]]</f>
        <v>0</v>
      </c>
      <c r="BA5" s="1">
        <f>tPanel_Export[[#This Row],[MKASKO_PENET_RUB]]*tPanel_Export[[#This Row],[TOTAL_SUM_FACT]]</f>
        <v>0</v>
      </c>
      <c r="BB5" s="1">
        <f>tPanel_Export[[#This Row],[SJ_PENET_SHT]]*tPanel_Export[[#This Row],[TOTAL_COUNT_FACT]]</f>
        <v>376.99997999999999</v>
      </c>
      <c r="BC5" s="1">
        <f>tPanel_Export[[#This Row],[SJ_PENET_RUB]]*tPanel_Export[[#This Row],[TOTAL_SUM_FACT]]</f>
        <v>187264324.83856788</v>
      </c>
      <c r="BD5" s="1">
        <f>tPanel_Export[[#This Row],[DKASKO_PENET_SHT]]*tPanel_Export[[#This Row],[TOTAL_COUNT_FACT]]</f>
        <v>0</v>
      </c>
      <c r="BE5" s="1">
        <f>tPanel_Export[[#This Row],[DKASKO_PENET_RUB]]*tPanel_Export[[#This Row],[TOTAL_SUM_FACT]]</f>
        <v>0</v>
      </c>
      <c r="BF5" s="1">
        <f>tPanel_Export[[#This Row],[RAMK_PENET_SHT]]*tPanel_Export[[#This Row],[TOTAL_COUNT_FACT]]</f>
        <v>0</v>
      </c>
      <c r="BG5" s="1">
        <f>tPanel_Export[[#This Row],[RAMK_PENET_RUB]]*tPanel_Export[[#This Row],[TOTAL_SUM_FACT]]</f>
        <v>0</v>
      </c>
      <c r="BH5" s="1">
        <f>tPanel_Export[[#This Row],[AVL_PENET_SHT]]*tPanel_Export[[#This Row],[TOTAL_COUNT_FACT]]</f>
        <v>0</v>
      </c>
      <c r="BI5" s="1">
        <f>tPanel_Export[[#This Row],[AVL_PENET_RUB]]*tPanel_Export[[#This Row],[TOTAL_SUM_FACT]]</f>
        <v>0</v>
      </c>
      <c r="BJ5" s="1">
        <f>1</f>
        <v>1</v>
      </c>
      <c r="BK5" s="32">
        <f>IFERROR(IF(VLOOKUP(tPanel_Export[[#This Row],[DATE_TO]],Extra2!A:C,3,0)="месяц закрыт",1,$BR$1),1)</f>
        <v>1</v>
      </c>
      <c r="BL5" s="1" t="str">
        <f>VLOOKUP(tPanel_Export[[#This Row],[MAK]],Curators!A:B,2,0)</f>
        <v>Чаусов</v>
      </c>
    </row>
    <row r="6" spans="1:70" x14ac:dyDescent="0.25">
      <c r="A6" s="5">
        <v>42005</v>
      </c>
      <c r="B6" s="5">
        <v>42369</v>
      </c>
      <c r="C6" t="s">
        <v>50</v>
      </c>
      <c r="E6">
        <v>199</v>
      </c>
      <c r="H6" s="1">
        <v>82896378.340000004</v>
      </c>
      <c r="J6" s="1">
        <v>416564.71527638199</v>
      </c>
      <c r="L6">
        <v>95</v>
      </c>
      <c r="O6">
        <v>55</v>
      </c>
      <c r="R6">
        <v>3</v>
      </c>
      <c r="U6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0.688442</v>
      </c>
      <c r="AB6" s="3">
        <v>0.48666999999999999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17">
        <v>18.360289999999999</v>
      </c>
      <c r="AJ6" s="17">
        <v>46.7</v>
      </c>
      <c r="AL6" s="17">
        <v>46</v>
      </c>
      <c r="AM6">
        <v>0.42509999999999998</v>
      </c>
      <c r="AN6" s="10">
        <v>129622109.62</v>
      </c>
      <c r="AO6" s="30">
        <f>tPanel_Export[[#This Row],[ASP_D_COUNT_PLAN]]+tPanel_Export[[#This Row],[C2C_COUNT_PLAN]]</f>
        <v>0</v>
      </c>
      <c r="AP6" s="30">
        <f>tPanel_Export[[#This Row],[ASP_D_COUNT_FACT]]+tPanel_Export[[#This Row],[C2C_COUNT_FACT]]</f>
        <v>3</v>
      </c>
      <c r="AQ6" s="1">
        <f>tPanel_Export[[#This Row],[MEDIUM_CHECK]]*tPanel_Export[[#This Row],[TOTAL_COUNT_FACT]]</f>
        <v>82896378.340000018</v>
      </c>
      <c r="AR6" s="10">
        <f>YEAR(tPanel_Export[[#This Row],[DATE_TO]])</f>
        <v>2015</v>
      </c>
      <c r="AS6" s="1">
        <f>MONTH(tPanel_Export[[#This Row],[DATE_TO]])</f>
        <v>12</v>
      </c>
      <c r="AT6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" s="1">
        <f>tPanel_Export[[#This Row],[STAVKAGP]]*tPanel_Export[[#This Row],[TOTAL_SUM_FACT]]</f>
        <v>1522001546.2721186</v>
      </c>
      <c r="AV6" s="1">
        <f>tPanel_Export[[#This Row],[SROKKRED]]*tPanel_Export[[#This Row],[TOTAL_SUM_FACT]]</f>
        <v>3871260868.4780006</v>
      </c>
      <c r="AW6" s="1">
        <f>tPanel_Export[[#This Row],[SV_PV]]*tPanel_Export[[#This Row],[VEHICLE_COST_RUR_AMT]]</f>
        <v>55102358.799461998</v>
      </c>
      <c r="AX6" s="1">
        <f>tPanel_Export[[#This Row],[VKASKO_PENET_SHT]]*tPanel_Export[[#This Row],[TOTAL_COUNT_FACT]]</f>
        <v>0</v>
      </c>
      <c r="AY6" s="1">
        <f>tPanel_Export[[#This Row],[VKASKO_PENET_RUB]]*tPanel_Export[[#This Row],[TOTAL_SUM_FACT]]</f>
        <v>0</v>
      </c>
      <c r="AZ6" s="1">
        <f>tPanel_Export[[#This Row],[MKASKO_PENET_SHT]]*tPanel_Export[[#This Row],[TOTAL_COUNT_FACT]]</f>
        <v>0</v>
      </c>
      <c r="BA6" s="1">
        <f>tPanel_Export[[#This Row],[MKASKO_PENET_RUB]]*tPanel_Export[[#This Row],[TOTAL_SUM_FACT]]</f>
        <v>0</v>
      </c>
      <c r="BB6" s="1">
        <f>tPanel_Export[[#This Row],[SJ_PENET_SHT]]*tPanel_Export[[#This Row],[TOTAL_COUNT_FACT]]</f>
        <v>136.99995799999999</v>
      </c>
      <c r="BC6" s="1">
        <f>tPanel_Export[[#This Row],[SJ_PENET_RUB]]*tPanel_Export[[#This Row],[TOTAL_SUM_FACT]]</f>
        <v>40343180.446727797</v>
      </c>
      <c r="BD6" s="1">
        <f>tPanel_Export[[#This Row],[DKASKO_PENET_SHT]]*tPanel_Export[[#This Row],[TOTAL_COUNT_FACT]]</f>
        <v>0</v>
      </c>
      <c r="BE6" s="1">
        <f>tPanel_Export[[#This Row],[DKASKO_PENET_RUB]]*tPanel_Export[[#This Row],[TOTAL_SUM_FACT]]</f>
        <v>0</v>
      </c>
      <c r="BF6" s="1">
        <f>tPanel_Export[[#This Row],[RAMK_PENET_SHT]]*tPanel_Export[[#This Row],[TOTAL_COUNT_FACT]]</f>
        <v>0</v>
      </c>
      <c r="BG6" s="1">
        <f>tPanel_Export[[#This Row],[RAMK_PENET_RUB]]*tPanel_Export[[#This Row],[TOTAL_SUM_FACT]]</f>
        <v>0</v>
      </c>
      <c r="BH6" s="1">
        <f>tPanel_Export[[#This Row],[AVL_PENET_SHT]]*tPanel_Export[[#This Row],[TOTAL_COUNT_FACT]]</f>
        <v>0</v>
      </c>
      <c r="BI6" s="1">
        <f>tPanel_Export[[#This Row],[AVL_PENET_RUB]]*tPanel_Export[[#This Row],[TOTAL_SUM_FACT]]</f>
        <v>0</v>
      </c>
      <c r="BJ6" s="1">
        <f>1</f>
        <v>1</v>
      </c>
      <c r="BK6" s="32">
        <f>IFERROR(IF(VLOOKUP(tPanel_Export[[#This Row],[DATE_TO]],Extra2!A:C,3,0)="месяц закрыт",1,$BR$1),1)</f>
        <v>1</v>
      </c>
      <c r="BL6" s="1" t="str">
        <f>VLOOKUP(tPanel_Export[[#This Row],[MAK]],Curators!A:B,2,0)</f>
        <v>Швейцаров</v>
      </c>
    </row>
    <row r="7" spans="1:70" x14ac:dyDescent="0.25">
      <c r="A7" s="5">
        <v>42005</v>
      </c>
      <c r="B7" s="5">
        <v>42369</v>
      </c>
      <c r="C7" t="s">
        <v>23</v>
      </c>
      <c r="E7">
        <v>116</v>
      </c>
      <c r="H7" s="1">
        <v>114308423.86</v>
      </c>
      <c r="J7" s="1">
        <v>985417.44706896599</v>
      </c>
      <c r="L7">
        <v>50</v>
      </c>
      <c r="O7">
        <v>45</v>
      </c>
      <c r="R7">
        <v>5</v>
      </c>
      <c r="U7">
        <v>0</v>
      </c>
      <c r="V7" s="3">
        <v>0</v>
      </c>
      <c r="W7" s="3">
        <v>0.04</v>
      </c>
      <c r="X7" s="3">
        <v>2.5606E-2</v>
      </c>
      <c r="Y7" s="3">
        <v>0</v>
      </c>
      <c r="Z7" s="3">
        <v>0</v>
      </c>
      <c r="AA7" s="3">
        <v>0.62931000000000004</v>
      </c>
      <c r="AB7" s="3">
        <v>0.41910500000000001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17">
        <v>17.933657400000001</v>
      </c>
      <c r="AJ7" s="17">
        <v>51.25</v>
      </c>
      <c r="AL7" s="17">
        <v>16</v>
      </c>
      <c r="AM7">
        <v>0.3926</v>
      </c>
      <c r="AN7" s="10">
        <v>171760995.5</v>
      </c>
      <c r="AO7" s="30">
        <f>tPanel_Export[[#This Row],[ASP_D_COUNT_PLAN]]+tPanel_Export[[#This Row],[C2C_COUNT_PLAN]]</f>
        <v>0</v>
      </c>
      <c r="AP7" s="30">
        <f>tPanel_Export[[#This Row],[ASP_D_COUNT_FACT]]+tPanel_Export[[#This Row],[C2C_COUNT_FACT]]</f>
        <v>5</v>
      </c>
      <c r="AQ7" s="1">
        <f>tPanel_Export[[#This Row],[MEDIUM_CHECK]]*tPanel_Export[[#This Row],[TOTAL_COUNT_FACT]]</f>
        <v>114308423.86000006</v>
      </c>
      <c r="AR7" s="10">
        <f>YEAR(tPanel_Export[[#This Row],[DATE_TO]])</f>
        <v>2015</v>
      </c>
      <c r="AS7" s="1">
        <f>MONTH(tPanel_Export[[#This Row],[DATE_TO]])</f>
        <v>12</v>
      </c>
      <c r="AT7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7" s="1">
        <f>tPanel_Export[[#This Row],[STAVKAGP]]*tPanel_Export[[#This Row],[TOTAL_SUM_FACT]]</f>
        <v>2049968111.4392257</v>
      </c>
      <c r="AV7" s="1">
        <f>tPanel_Export[[#This Row],[SROKKRED]]*tPanel_Export[[#This Row],[TOTAL_SUM_FACT]]</f>
        <v>5858306722.8249998</v>
      </c>
      <c r="AW7" s="1">
        <f>tPanel_Export[[#This Row],[SV_PV]]*tPanel_Export[[#This Row],[VEHICLE_COST_RUR_AMT]]</f>
        <v>67433366.833299994</v>
      </c>
      <c r="AX7" s="1">
        <f>tPanel_Export[[#This Row],[VKASKO_PENET_SHT]]*tPanel_Export[[#This Row],[TOTAL_COUNT_FACT]]</f>
        <v>4.6399999999999997</v>
      </c>
      <c r="AY7" s="1">
        <f>tPanel_Export[[#This Row],[VKASKO_PENET_RUB]]*tPanel_Export[[#This Row],[TOTAL_SUM_FACT]]</f>
        <v>2926981.5013591601</v>
      </c>
      <c r="AZ7" s="1">
        <f>tPanel_Export[[#This Row],[MKASKO_PENET_SHT]]*tPanel_Export[[#This Row],[TOTAL_COUNT_FACT]]</f>
        <v>0</v>
      </c>
      <c r="BA7" s="1">
        <f>tPanel_Export[[#This Row],[MKASKO_PENET_RUB]]*tPanel_Export[[#This Row],[TOTAL_SUM_FACT]]</f>
        <v>0</v>
      </c>
      <c r="BB7" s="1">
        <f>tPanel_Export[[#This Row],[SJ_PENET_SHT]]*tPanel_Export[[#This Row],[TOTAL_COUNT_FACT]]</f>
        <v>72.999960000000002</v>
      </c>
      <c r="BC7" s="1">
        <f>tPanel_Export[[#This Row],[SJ_PENET_RUB]]*tPanel_Export[[#This Row],[TOTAL_SUM_FACT]]</f>
        <v>47907231.981845297</v>
      </c>
      <c r="BD7" s="1">
        <f>tPanel_Export[[#This Row],[DKASKO_PENET_SHT]]*tPanel_Export[[#This Row],[TOTAL_COUNT_FACT]]</f>
        <v>0</v>
      </c>
      <c r="BE7" s="1">
        <f>tPanel_Export[[#This Row],[DKASKO_PENET_RUB]]*tPanel_Export[[#This Row],[TOTAL_SUM_FACT]]</f>
        <v>0</v>
      </c>
      <c r="BF7" s="1">
        <f>tPanel_Export[[#This Row],[RAMK_PENET_SHT]]*tPanel_Export[[#This Row],[TOTAL_COUNT_FACT]]</f>
        <v>0</v>
      </c>
      <c r="BG7" s="1">
        <f>tPanel_Export[[#This Row],[RAMK_PENET_RUB]]*tPanel_Export[[#This Row],[TOTAL_SUM_FACT]]</f>
        <v>0</v>
      </c>
      <c r="BH7" s="1">
        <f>tPanel_Export[[#This Row],[AVL_PENET_SHT]]*tPanel_Export[[#This Row],[TOTAL_COUNT_FACT]]</f>
        <v>0</v>
      </c>
      <c r="BI7" s="1">
        <f>tPanel_Export[[#This Row],[AVL_PENET_RUB]]*tPanel_Export[[#This Row],[TOTAL_SUM_FACT]]</f>
        <v>0</v>
      </c>
      <c r="BJ7" s="1">
        <f>1</f>
        <v>1</v>
      </c>
      <c r="BK7" s="32">
        <f>IFERROR(IF(VLOOKUP(tPanel_Export[[#This Row],[DATE_TO]],Extra2!A:C,3,0)="месяц закрыт",1,$BR$1),1)</f>
        <v>1</v>
      </c>
      <c r="BL7" s="1" t="str">
        <f>VLOOKUP(tPanel_Export[[#This Row],[MAK]],Curators!A:B,2,0)</f>
        <v>Капшук</v>
      </c>
    </row>
    <row r="8" spans="1:70" x14ac:dyDescent="0.25">
      <c r="A8" s="5">
        <v>42005</v>
      </c>
      <c r="B8" s="5">
        <v>42369</v>
      </c>
      <c r="C8" t="s">
        <v>40</v>
      </c>
      <c r="E8">
        <v>490</v>
      </c>
      <c r="H8" s="1">
        <v>158587436.22</v>
      </c>
      <c r="J8" s="1">
        <v>323647.82902040798</v>
      </c>
      <c r="L8">
        <v>360</v>
      </c>
      <c r="O8">
        <v>80</v>
      </c>
      <c r="R8">
        <v>5</v>
      </c>
      <c r="U8">
        <v>0</v>
      </c>
      <c r="V8" s="3">
        <v>0</v>
      </c>
      <c r="W8" s="3">
        <v>2.2471999999999999E-2</v>
      </c>
      <c r="X8" s="3">
        <v>2.4823000000000001E-2</v>
      </c>
      <c r="Y8" s="3">
        <v>0</v>
      </c>
      <c r="Z8" s="3">
        <v>0</v>
      </c>
      <c r="AA8" s="3">
        <v>0.63469399999999998</v>
      </c>
      <c r="AB8" s="3">
        <v>0.48661399999999999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17">
        <v>19.522088799999999</v>
      </c>
      <c r="AJ8" s="17">
        <v>44.79</v>
      </c>
      <c r="AL8" s="17">
        <v>45</v>
      </c>
      <c r="AM8">
        <v>0.44619999999999999</v>
      </c>
      <c r="AN8" s="10">
        <v>261177848.37</v>
      </c>
      <c r="AO8" s="30">
        <f>tPanel_Export[[#This Row],[ASP_D_COUNT_PLAN]]+tPanel_Export[[#This Row],[C2C_COUNT_PLAN]]</f>
        <v>0</v>
      </c>
      <c r="AP8" s="30">
        <f>tPanel_Export[[#This Row],[ASP_D_COUNT_FACT]]+tPanel_Export[[#This Row],[C2C_COUNT_FACT]]</f>
        <v>5</v>
      </c>
      <c r="AQ8" s="1">
        <f>tPanel_Export[[#This Row],[MEDIUM_CHECK]]*tPanel_Export[[#This Row],[TOTAL_COUNT_FACT]]</f>
        <v>158587436.21999991</v>
      </c>
      <c r="AR8" s="10">
        <f>YEAR(tPanel_Export[[#This Row],[DATE_TO]])</f>
        <v>2015</v>
      </c>
      <c r="AS8" s="1">
        <f>MONTH(tPanel_Export[[#This Row],[DATE_TO]])</f>
        <v>12</v>
      </c>
      <c r="AT8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8" s="1">
        <f>tPanel_Export[[#This Row],[STAVKAGP]]*tPanel_Export[[#This Row],[TOTAL_SUM_FACT]]</f>
        <v>3095958012.4511762</v>
      </c>
      <c r="AV8" s="1">
        <f>tPanel_Export[[#This Row],[SROKKRED]]*tPanel_Export[[#This Row],[TOTAL_SUM_FACT]]</f>
        <v>7103131268.2937994</v>
      </c>
      <c r="AW8" s="1">
        <f>tPanel_Export[[#This Row],[SV_PV]]*tPanel_Export[[#This Row],[VEHICLE_COST_RUR_AMT]]</f>
        <v>116537555.94269399</v>
      </c>
      <c r="AX8" s="1">
        <f>tPanel_Export[[#This Row],[VKASKO_PENET_SHT]]*tPanel_Export[[#This Row],[TOTAL_COUNT_FACT]]</f>
        <v>11.011279999999999</v>
      </c>
      <c r="AY8" s="1">
        <f>tPanel_Export[[#This Row],[VKASKO_PENET_RUB]]*tPanel_Export[[#This Row],[TOTAL_SUM_FACT]]</f>
        <v>3936615.9292890602</v>
      </c>
      <c r="AZ8" s="1">
        <f>tPanel_Export[[#This Row],[MKASKO_PENET_SHT]]*tPanel_Export[[#This Row],[TOTAL_COUNT_FACT]]</f>
        <v>0</v>
      </c>
      <c r="BA8" s="1">
        <f>tPanel_Export[[#This Row],[MKASKO_PENET_RUB]]*tPanel_Export[[#This Row],[TOTAL_SUM_FACT]]</f>
        <v>0</v>
      </c>
      <c r="BB8" s="1">
        <f>tPanel_Export[[#This Row],[SJ_PENET_SHT]]*tPanel_Export[[#This Row],[TOTAL_COUNT_FACT]]</f>
        <v>311.00005999999996</v>
      </c>
      <c r="BC8" s="1">
        <f>tPanel_Export[[#This Row],[SJ_PENET_RUB]]*tPanel_Export[[#This Row],[TOTAL_SUM_FACT]]</f>
        <v>77170866.688759074</v>
      </c>
      <c r="BD8" s="1">
        <f>tPanel_Export[[#This Row],[DKASKO_PENET_SHT]]*tPanel_Export[[#This Row],[TOTAL_COUNT_FACT]]</f>
        <v>0</v>
      </c>
      <c r="BE8" s="1">
        <f>tPanel_Export[[#This Row],[DKASKO_PENET_RUB]]*tPanel_Export[[#This Row],[TOTAL_SUM_FACT]]</f>
        <v>0</v>
      </c>
      <c r="BF8" s="1">
        <f>tPanel_Export[[#This Row],[RAMK_PENET_SHT]]*tPanel_Export[[#This Row],[TOTAL_COUNT_FACT]]</f>
        <v>0</v>
      </c>
      <c r="BG8" s="1">
        <f>tPanel_Export[[#This Row],[RAMK_PENET_RUB]]*tPanel_Export[[#This Row],[TOTAL_SUM_FACT]]</f>
        <v>0</v>
      </c>
      <c r="BH8" s="1">
        <f>tPanel_Export[[#This Row],[AVL_PENET_SHT]]*tPanel_Export[[#This Row],[TOTAL_COUNT_FACT]]</f>
        <v>0</v>
      </c>
      <c r="BI8" s="1">
        <f>tPanel_Export[[#This Row],[AVL_PENET_RUB]]*tPanel_Export[[#This Row],[TOTAL_SUM_FACT]]</f>
        <v>0</v>
      </c>
      <c r="BJ8" s="1">
        <f>1</f>
        <v>1</v>
      </c>
      <c r="BK8" s="32">
        <f>IFERROR(IF(VLOOKUP(tPanel_Export[[#This Row],[DATE_TO]],Extra2!A:C,3,0)="месяц закрыт",1,$BR$1),1)</f>
        <v>1</v>
      </c>
      <c r="BL8" s="1" t="str">
        <f>VLOOKUP(tPanel_Export[[#This Row],[MAK]],Curators!A:B,2,0)</f>
        <v>Кашин</v>
      </c>
    </row>
    <row r="9" spans="1:70" x14ac:dyDescent="0.25">
      <c r="A9" s="5">
        <v>42005</v>
      </c>
      <c r="B9" s="5">
        <v>42369</v>
      </c>
      <c r="C9" t="s">
        <v>189</v>
      </c>
      <c r="E9">
        <v>59</v>
      </c>
      <c r="H9" s="1">
        <v>40405485.609999999</v>
      </c>
      <c r="J9" s="1">
        <v>684838.73915254197</v>
      </c>
      <c r="L9">
        <v>27</v>
      </c>
      <c r="O9">
        <v>24</v>
      </c>
      <c r="R9">
        <v>2</v>
      </c>
      <c r="U9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0.50847500000000001</v>
      </c>
      <c r="AB9" s="3">
        <v>0.45343499999999998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17">
        <v>18.596053300000001</v>
      </c>
      <c r="AJ9" s="17">
        <v>46.26</v>
      </c>
      <c r="AL9" s="17">
        <v>6</v>
      </c>
      <c r="AM9">
        <v>0.41289999999999999</v>
      </c>
      <c r="AN9" s="10">
        <v>63032584.479999997</v>
      </c>
      <c r="AO9" s="30">
        <f>tPanel_Export[[#This Row],[ASP_D_COUNT_PLAN]]+tPanel_Export[[#This Row],[C2C_COUNT_PLAN]]</f>
        <v>0</v>
      </c>
      <c r="AP9" s="30">
        <f>tPanel_Export[[#This Row],[ASP_D_COUNT_FACT]]+tPanel_Export[[#This Row],[C2C_COUNT_FACT]]</f>
        <v>2</v>
      </c>
      <c r="AQ9" s="1">
        <f>tPanel_Export[[#This Row],[MEDIUM_CHECK]]*tPanel_Export[[#This Row],[TOTAL_COUNT_FACT]]</f>
        <v>40405485.609999977</v>
      </c>
      <c r="AR9" s="10">
        <f>YEAR(tPanel_Export[[#This Row],[DATE_TO]])</f>
        <v>2015</v>
      </c>
      <c r="AS9" s="1">
        <f>MONTH(tPanel_Export[[#This Row],[DATE_TO]])</f>
        <v>12</v>
      </c>
      <c r="AT9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9" s="1">
        <f>tPanel_Export[[#This Row],[STAVKAGP]]*tPanel_Export[[#This Row],[TOTAL_SUM_FACT]]</f>
        <v>751382564.01594305</v>
      </c>
      <c r="AV9" s="1">
        <f>tPanel_Export[[#This Row],[SROKKRED]]*tPanel_Export[[#This Row],[TOTAL_SUM_FACT]]</f>
        <v>1869157764.3185999</v>
      </c>
      <c r="AW9" s="1">
        <f>tPanel_Export[[#This Row],[SV_PV]]*tPanel_Export[[#This Row],[VEHICLE_COST_RUR_AMT]]</f>
        <v>26026154.131791998</v>
      </c>
      <c r="AX9" s="1">
        <f>tPanel_Export[[#This Row],[VKASKO_PENET_SHT]]*tPanel_Export[[#This Row],[TOTAL_COUNT_FACT]]</f>
        <v>0</v>
      </c>
      <c r="AY9" s="1">
        <f>tPanel_Export[[#This Row],[VKASKO_PENET_RUB]]*tPanel_Export[[#This Row],[TOTAL_SUM_FACT]]</f>
        <v>0</v>
      </c>
      <c r="AZ9" s="1">
        <f>tPanel_Export[[#This Row],[MKASKO_PENET_SHT]]*tPanel_Export[[#This Row],[TOTAL_COUNT_FACT]]</f>
        <v>0</v>
      </c>
      <c r="BA9" s="1">
        <f>tPanel_Export[[#This Row],[MKASKO_PENET_RUB]]*tPanel_Export[[#This Row],[TOTAL_SUM_FACT]]</f>
        <v>0</v>
      </c>
      <c r="BB9" s="1">
        <f>tPanel_Export[[#This Row],[SJ_PENET_SHT]]*tPanel_Export[[#This Row],[TOTAL_COUNT_FACT]]</f>
        <v>30.000025000000001</v>
      </c>
      <c r="BC9" s="1">
        <f>tPanel_Export[[#This Row],[SJ_PENET_RUB]]*tPanel_Export[[#This Row],[TOTAL_SUM_FACT]]</f>
        <v>18321261.367570348</v>
      </c>
      <c r="BD9" s="1">
        <f>tPanel_Export[[#This Row],[DKASKO_PENET_SHT]]*tPanel_Export[[#This Row],[TOTAL_COUNT_FACT]]</f>
        <v>0</v>
      </c>
      <c r="BE9" s="1">
        <f>tPanel_Export[[#This Row],[DKASKO_PENET_RUB]]*tPanel_Export[[#This Row],[TOTAL_SUM_FACT]]</f>
        <v>0</v>
      </c>
      <c r="BF9" s="1">
        <f>tPanel_Export[[#This Row],[RAMK_PENET_SHT]]*tPanel_Export[[#This Row],[TOTAL_COUNT_FACT]]</f>
        <v>0</v>
      </c>
      <c r="BG9" s="1">
        <f>tPanel_Export[[#This Row],[RAMK_PENET_RUB]]*tPanel_Export[[#This Row],[TOTAL_SUM_FACT]]</f>
        <v>0</v>
      </c>
      <c r="BH9" s="1">
        <f>tPanel_Export[[#This Row],[AVL_PENET_SHT]]*tPanel_Export[[#This Row],[TOTAL_COUNT_FACT]]</f>
        <v>0</v>
      </c>
      <c r="BI9" s="1">
        <f>tPanel_Export[[#This Row],[AVL_PENET_RUB]]*tPanel_Export[[#This Row],[TOTAL_SUM_FACT]]</f>
        <v>0</v>
      </c>
      <c r="BJ9" s="1">
        <f>1</f>
        <v>1</v>
      </c>
      <c r="BK9" s="32">
        <f>IFERROR(IF(VLOOKUP(tPanel_Export[[#This Row],[DATE_TO]],Extra2!A:C,3,0)="месяц закрыт",1,$BR$1),1)</f>
        <v>1</v>
      </c>
      <c r="BL9" s="1" t="str">
        <f>VLOOKUP(tPanel_Export[[#This Row],[MAK]],Curators!A:B,2,0)</f>
        <v>-</v>
      </c>
    </row>
    <row r="10" spans="1:70" x14ac:dyDescent="0.25">
      <c r="A10" s="5">
        <v>42005</v>
      </c>
      <c r="B10" s="5">
        <v>42369</v>
      </c>
      <c r="C10" t="s">
        <v>20</v>
      </c>
      <c r="E10">
        <v>361</v>
      </c>
      <c r="H10" s="1">
        <v>116546375.67</v>
      </c>
      <c r="J10" s="1">
        <v>322843.14590027701</v>
      </c>
      <c r="L10">
        <v>214</v>
      </c>
      <c r="O10">
        <v>41</v>
      </c>
      <c r="R10">
        <v>16</v>
      </c>
      <c r="U10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0.79778400000000005</v>
      </c>
      <c r="AB10" s="3">
        <v>0.70859499999999997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17">
        <v>18.746388400000001</v>
      </c>
      <c r="AJ10" s="17">
        <v>41.53</v>
      </c>
      <c r="AL10" s="17">
        <v>90</v>
      </c>
      <c r="AM10">
        <v>0.39119999999999999</v>
      </c>
      <c r="AN10" s="10">
        <v>171489628.88999999</v>
      </c>
      <c r="AO10" s="30">
        <f>tPanel_Export[[#This Row],[ASP_D_COUNT_PLAN]]+tPanel_Export[[#This Row],[C2C_COUNT_PLAN]]</f>
        <v>0</v>
      </c>
      <c r="AP10" s="30">
        <f>tPanel_Export[[#This Row],[ASP_D_COUNT_FACT]]+tPanel_Export[[#This Row],[C2C_COUNT_FACT]]</f>
        <v>16</v>
      </c>
      <c r="AQ10" s="1">
        <f>tPanel_Export[[#This Row],[MEDIUM_CHECK]]*tPanel_Export[[#This Row],[TOTAL_COUNT_FACT]]</f>
        <v>116546375.67</v>
      </c>
      <c r="AR10" s="10">
        <f>YEAR(tPanel_Export[[#This Row],[DATE_TO]])</f>
        <v>2015</v>
      </c>
      <c r="AS10" s="1">
        <f>MONTH(tPanel_Export[[#This Row],[DATE_TO]])</f>
        <v>12</v>
      </c>
      <c r="AT10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0" s="1">
        <f>tPanel_Export[[#This Row],[STAVKAGP]]*tPanel_Export[[#This Row],[TOTAL_SUM_FACT]]</f>
        <v>2184823624.9221306</v>
      </c>
      <c r="AV10" s="1">
        <f>tPanel_Export[[#This Row],[SROKKRED]]*tPanel_Export[[#This Row],[TOTAL_SUM_FACT]]</f>
        <v>4840170981.5750999</v>
      </c>
      <c r="AW10" s="1">
        <f>tPanel_Export[[#This Row],[SV_PV]]*tPanel_Export[[#This Row],[VEHICLE_COST_RUR_AMT]]</f>
        <v>67086742.821767993</v>
      </c>
      <c r="AX10" s="1">
        <f>tPanel_Export[[#This Row],[VKASKO_PENET_SHT]]*tPanel_Export[[#This Row],[TOTAL_COUNT_FACT]]</f>
        <v>0</v>
      </c>
      <c r="AY10" s="1">
        <f>tPanel_Export[[#This Row],[VKASKO_PENET_RUB]]*tPanel_Export[[#This Row],[TOTAL_SUM_FACT]]</f>
        <v>0</v>
      </c>
      <c r="AZ10" s="1">
        <f>tPanel_Export[[#This Row],[MKASKO_PENET_SHT]]*tPanel_Export[[#This Row],[TOTAL_COUNT_FACT]]</f>
        <v>0</v>
      </c>
      <c r="BA10" s="1">
        <f>tPanel_Export[[#This Row],[MKASKO_PENET_RUB]]*tPanel_Export[[#This Row],[TOTAL_SUM_FACT]]</f>
        <v>0</v>
      </c>
      <c r="BB10" s="1">
        <f>tPanel_Export[[#This Row],[SJ_PENET_SHT]]*tPanel_Export[[#This Row],[TOTAL_COUNT_FACT]]</f>
        <v>288.000024</v>
      </c>
      <c r="BC10" s="1">
        <f>tPanel_Export[[#This Row],[SJ_PENET_RUB]]*tPanel_Export[[#This Row],[TOTAL_SUM_FACT]]</f>
        <v>82584179.067883655</v>
      </c>
      <c r="BD10" s="1">
        <f>tPanel_Export[[#This Row],[DKASKO_PENET_SHT]]*tPanel_Export[[#This Row],[TOTAL_COUNT_FACT]]</f>
        <v>0</v>
      </c>
      <c r="BE10" s="1">
        <f>tPanel_Export[[#This Row],[DKASKO_PENET_RUB]]*tPanel_Export[[#This Row],[TOTAL_SUM_FACT]]</f>
        <v>0</v>
      </c>
      <c r="BF10" s="1">
        <f>tPanel_Export[[#This Row],[RAMK_PENET_SHT]]*tPanel_Export[[#This Row],[TOTAL_COUNT_FACT]]</f>
        <v>0</v>
      </c>
      <c r="BG10" s="1">
        <f>tPanel_Export[[#This Row],[RAMK_PENET_RUB]]*tPanel_Export[[#This Row],[TOTAL_SUM_FACT]]</f>
        <v>0</v>
      </c>
      <c r="BH10" s="1">
        <f>tPanel_Export[[#This Row],[AVL_PENET_SHT]]*tPanel_Export[[#This Row],[TOTAL_COUNT_FACT]]</f>
        <v>0</v>
      </c>
      <c r="BI10" s="1">
        <f>tPanel_Export[[#This Row],[AVL_PENET_RUB]]*tPanel_Export[[#This Row],[TOTAL_SUM_FACT]]</f>
        <v>0</v>
      </c>
      <c r="BJ10" s="1">
        <f>1</f>
        <v>1</v>
      </c>
      <c r="BK10" s="32">
        <f>IFERROR(IF(VLOOKUP(tPanel_Export[[#This Row],[DATE_TO]],Extra2!A:C,3,0)="месяц закрыт",1,$BR$1),1)</f>
        <v>1</v>
      </c>
      <c r="BL10" s="1" t="str">
        <f>VLOOKUP(tPanel_Export[[#This Row],[MAK]],Curators!A:B,2,0)</f>
        <v>Швейцаров</v>
      </c>
    </row>
    <row r="11" spans="1:70" x14ac:dyDescent="0.25">
      <c r="A11" s="5">
        <v>42005</v>
      </c>
      <c r="B11" s="5">
        <v>42369</v>
      </c>
      <c r="C11" t="s">
        <v>10</v>
      </c>
      <c r="E11">
        <v>637</v>
      </c>
      <c r="H11" s="1">
        <v>344671463.56999999</v>
      </c>
      <c r="J11" s="1">
        <v>541085.50010989001</v>
      </c>
      <c r="L11">
        <v>389</v>
      </c>
      <c r="O11">
        <v>144</v>
      </c>
      <c r="R11">
        <v>19</v>
      </c>
      <c r="U11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0.89010999999999996</v>
      </c>
      <c r="AB11" s="3">
        <v>0.78275700000000004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17">
        <v>18.3147354</v>
      </c>
      <c r="AJ11" s="17">
        <v>44.9</v>
      </c>
      <c r="AL11" s="17">
        <v>85</v>
      </c>
      <c r="AM11">
        <v>0.44409999999999999</v>
      </c>
      <c r="AN11" s="10">
        <v>542780102.29999995</v>
      </c>
      <c r="AO11" s="30">
        <f>tPanel_Export[[#This Row],[ASP_D_COUNT_PLAN]]+tPanel_Export[[#This Row],[C2C_COUNT_PLAN]]</f>
        <v>0</v>
      </c>
      <c r="AP11" s="30">
        <f>tPanel_Export[[#This Row],[ASP_D_COUNT_FACT]]+tPanel_Export[[#This Row],[C2C_COUNT_FACT]]</f>
        <v>19</v>
      </c>
      <c r="AQ11" s="1">
        <f>tPanel_Export[[#This Row],[MEDIUM_CHECK]]*tPanel_Export[[#This Row],[TOTAL_COUNT_FACT]]</f>
        <v>344671463.56999993</v>
      </c>
      <c r="AR11" s="10">
        <f>YEAR(tPanel_Export[[#This Row],[DATE_TO]])</f>
        <v>2015</v>
      </c>
      <c r="AS11" s="1">
        <f>MONTH(tPanel_Export[[#This Row],[DATE_TO]])</f>
        <v>12</v>
      </c>
      <c r="AT11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1" s="1">
        <f>tPanel_Export[[#This Row],[STAVKAGP]]*tPanel_Export[[#This Row],[TOTAL_SUM_FACT]]</f>
        <v>6312566655.2152891</v>
      </c>
      <c r="AV11" s="1">
        <f>tPanel_Export[[#This Row],[SROKKRED]]*tPanel_Export[[#This Row],[TOTAL_SUM_FACT]]</f>
        <v>15475748714.292999</v>
      </c>
      <c r="AW11" s="1">
        <f>tPanel_Export[[#This Row],[SV_PV]]*tPanel_Export[[#This Row],[VEHICLE_COST_RUR_AMT]]</f>
        <v>241048643.43142998</v>
      </c>
      <c r="AX11" s="1">
        <f>tPanel_Export[[#This Row],[VKASKO_PENET_SHT]]*tPanel_Export[[#This Row],[TOTAL_COUNT_FACT]]</f>
        <v>0</v>
      </c>
      <c r="AY11" s="1">
        <f>tPanel_Export[[#This Row],[VKASKO_PENET_RUB]]*tPanel_Export[[#This Row],[TOTAL_SUM_FACT]]</f>
        <v>0</v>
      </c>
      <c r="AZ11" s="1">
        <f>tPanel_Export[[#This Row],[MKASKO_PENET_SHT]]*tPanel_Export[[#This Row],[TOTAL_COUNT_FACT]]</f>
        <v>0</v>
      </c>
      <c r="BA11" s="1">
        <f>tPanel_Export[[#This Row],[MKASKO_PENET_RUB]]*tPanel_Export[[#This Row],[TOTAL_SUM_FACT]]</f>
        <v>0</v>
      </c>
      <c r="BB11" s="1">
        <f>tPanel_Export[[#This Row],[SJ_PENET_SHT]]*tPanel_Export[[#This Row],[TOTAL_COUNT_FACT]]</f>
        <v>567.00006999999994</v>
      </c>
      <c r="BC11" s="1">
        <f>tPanel_Export[[#This Row],[SJ_PENET_RUB]]*tPanel_Export[[#This Row],[TOTAL_SUM_FACT]]</f>
        <v>269794000.80966252</v>
      </c>
      <c r="BD11" s="1">
        <f>tPanel_Export[[#This Row],[DKASKO_PENET_SHT]]*tPanel_Export[[#This Row],[TOTAL_COUNT_FACT]]</f>
        <v>0</v>
      </c>
      <c r="BE11" s="1">
        <f>tPanel_Export[[#This Row],[DKASKO_PENET_RUB]]*tPanel_Export[[#This Row],[TOTAL_SUM_FACT]]</f>
        <v>0</v>
      </c>
      <c r="BF11" s="1">
        <f>tPanel_Export[[#This Row],[RAMK_PENET_SHT]]*tPanel_Export[[#This Row],[TOTAL_COUNT_FACT]]</f>
        <v>0</v>
      </c>
      <c r="BG11" s="1">
        <f>tPanel_Export[[#This Row],[RAMK_PENET_RUB]]*tPanel_Export[[#This Row],[TOTAL_SUM_FACT]]</f>
        <v>0</v>
      </c>
      <c r="BH11" s="1">
        <f>tPanel_Export[[#This Row],[AVL_PENET_SHT]]*tPanel_Export[[#This Row],[TOTAL_COUNT_FACT]]</f>
        <v>0</v>
      </c>
      <c r="BI11" s="1">
        <f>tPanel_Export[[#This Row],[AVL_PENET_RUB]]*tPanel_Export[[#This Row],[TOTAL_SUM_FACT]]</f>
        <v>0</v>
      </c>
      <c r="BJ11" s="1">
        <f>1</f>
        <v>1</v>
      </c>
      <c r="BK11" s="32">
        <f>IFERROR(IF(VLOOKUP(tPanel_Export[[#This Row],[DATE_TO]],Extra2!A:C,3,0)="месяц закрыт",1,$BR$1),1)</f>
        <v>1</v>
      </c>
      <c r="BL11" s="1" t="str">
        <f>VLOOKUP(tPanel_Export[[#This Row],[MAK]],Curators!A:B,2,0)</f>
        <v>Кашин</v>
      </c>
    </row>
    <row r="12" spans="1:70" x14ac:dyDescent="0.25">
      <c r="A12" s="5">
        <v>42005</v>
      </c>
      <c r="B12" s="5">
        <v>42369</v>
      </c>
      <c r="C12" t="s">
        <v>58</v>
      </c>
      <c r="E12">
        <v>293</v>
      </c>
      <c r="H12" s="1">
        <v>152045651.99000001</v>
      </c>
      <c r="J12" s="1">
        <v>518927.13989761099</v>
      </c>
      <c r="L12">
        <v>141</v>
      </c>
      <c r="O12">
        <v>107</v>
      </c>
      <c r="R12">
        <v>9</v>
      </c>
      <c r="U12">
        <v>0</v>
      </c>
      <c r="V12" s="3">
        <v>0</v>
      </c>
      <c r="W12" s="3">
        <v>4.2802E-2</v>
      </c>
      <c r="X12" s="3">
        <v>3.6454E-2</v>
      </c>
      <c r="Y12" s="3">
        <v>0</v>
      </c>
      <c r="Z12" s="3">
        <v>0</v>
      </c>
      <c r="AA12" s="3">
        <v>0.80887399999999998</v>
      </c>
      <c r="AB12" s="3">
        <v>0.73801300000000003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17">
        <v>18.163530000000002</v>
      </c>
      <c r="AJ12" s="17">
        <v>45.85</v>
      </c>
      <c r="AL12" s="17">
        <v>36</v>
      </c>
      <c r="AM12">
        <v>0.43980000000000002</v>
      </c>
      <c r="AN12" s="10">
        <v>236066150.88999999</v>
      </c>
      <c r="AO12" s="30">
        <f>tPanel_Export[[#This Row],[ASP_D_COUNT_PLAN]]+tPanel_Export[[#This Row],[C2C_COUNT_PLAN]]</f>
        <v>0</v>
      </c>
      <c r="AP12" s="30">
        <f>tPanel_Export[[#This Row],[ASP_D_COUNT_FACT]]+tPanel_Export[[#This Row],[C2C_COUNT_FACT]]</f>
        <v>9</v>
      </c>
      <c r="AQ12" s="1">
        <f>tPanel_Export[[#This Row],[MEDIUM_CHECK]]*tPanel_Export[[#This Row],[TOTAL_COUNT_FACT]]</f>
        <v>152045651.99000001</v>
      </c>
      <c r="AR12" s="10">
        <f>YEAR(tPanel_Export[[#This Row],[DATE_TO]])</f>
        <v>2015</v>
      </c>
      <c r="AS12" s="1">
        <f>MONTH(tPanel_Export[[#This Row],[DATE_TO]])</f>
        <v>12</v>
      </c>
      <c r="AT1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2" s="1">
        <f>tPanel_Export[[#This Row],[STAVKAGP]]*tPanel_Export[[#This Row],[TOTAL_SUM_FACT]]</f>
        <v>2761685761.2899251</v>
      </c>
      <c r="AV12" s="1">
        <f>tPanel_Export[[#This Row],[SROKKRED]]*tPanel_Export[[#This Row],[TOTAL_SUM_FACT]]</f>
        <v>6971293143.7415009</v>
      </c>
      <c r="AW12" s="1">
        <f>tPanel_Export[[#This Row],[SV_PV]]*tPanel_Export[[#This Row],[VEHICLE_COST_RUR_AMT]]</f>
        <v>103821893.161422</v>
      </c>
      <c r="AX12" s="1">
        <f>tPanel_Export[[#This Row],[VKASKO_PENET_SHT]]*tPanel_Export[[#This Row],[TOTAL_COUNT_FACT]]</f>
        <v>12.540986</v>
      </c>
      <c r="AY12" s="1">
        <f>tPanel_Export[[#This Row],[VKASKO_PENET_RUB]]*tPanel_Export[[#This Row],[TOTAL_SUM_FACT]]</f>
        <v>5542672.1976434607</v>
      </c>
      <c r="AZ12" s="1">
        <f>tPanel_Export[[#This Row],[MKASKO_PENET_SHT]]*tPanel_Export[[#This Row],[TOTAL_COUNT_FACT]]</f>
        <v>0</v>
      </c>
      <c r="BA12" s="1">
        <f>tPanel_Export[[#This Row],[MKASKO_PENET_RUB]]*tPanel_Export[[#This Row],[TOTAL_SUM_FACT]]</f>
        <v>0</v>
      </c>
      <c r="BB12" s="1">
        <f>tPanel_Export[[#This Row],[SJ_PENET_SHT]]*tPanel_Export[[#This Row],[TOTAL_COUNT_FACT]]</f>
        <v>237.00008199999999</v>
      </c>
      <c r="BC12" s="1">
        <f>tPanel_Export[[#This Row],[SJ_PENET_RUB]]*tPanel_Export[[#This Row],[TOTAL_SUM_FACT]]</f>
        <v>112211667.76209588</v>
      </c>
      <c r="BD12" s="1">
        <f>tPanel_Export[[#This Row],[DKASKO_PENET_SHT]]*tPanel_Export[[#This Row],[TOTAL_COUNT_FACT]]</f>
        <v>0</v>
      </c>
      <c r="BE12" s="1">
        <f>tPanel_Export[[#This Row],[DKASKO_PENET_RUB]]*tPanel_Export[[#This Row],[TOTAL_SUM_FACT]]</f>
        <v>0</v>
      </c>
      <c r="BF12" s="1">
        <f>tPanel_Export[[#This Row],[RAMK_PENET_SHT]]*tPanel_Export[[#This Row],[TOTAL_COUNT_FACT]]</f>
        <v>0</v>
      </c>
      <c r="BG12" s="1">
        <f>tPanel_Export[[#This Row],[RAMK_PENET_RUB]]*tPanel_Export[[#This Row],[TOTAL_SUM_FACT]]</f>
        <v>0</v>
      </c>
      <c r="BH12" s="1">
        <f>tPanel_Export[[#This Row],[AVL_PENET_SHT]]*tPanel_Export[[#This Row],[TOTAL_COUNT_FACT]]</f>
        <v>0</v>
      </c>
      <c r="BI12" s="1">
        <f>tPanel_Export[[#This Row],[AVL_PENET_RUB]]*tPanel_Export[[#This Row],[TOTAL_SUM_FACT]]</f>
        <v>0</v>
      </c>
      <c r="BJ12" s="1">
        <f>1</f>
        <v>1</v>
      </c>
      <c r="BK12" s="32">
        <f>IFERROR(IF(VLOOKUP(tPanel_Export[[#This Row],[DATE_TO]],Extra2!A:C,3,0)="месяц закрыт",1,$BR$1),1)</f>
        <v>1</v>
      </c>
      <c r="BL12" s="1" t="str">
        <f>VLOOKUP(tPanel_Export[[#This Row],[MAK]],Curators!A:B,2,0)</f>
        <v>Чаусов</v>
      </c>
    </row>
    <row r="13" spans="1:70" x14ac:dyDescent="0.25">
      <c r="A13" s="5">
        <v>42005</v>
      </c>
      <c r="B13" s="5">
        <v>42369</v>
      </c>
      <c r="C13" t="s">
        <v>12</v>
      </c>
      <c r="E13">
        <v>763</v>
      </c>
      <c r="H13" s="1">
        <v>283543926.83999997</v>
      </c>
      <c r="J13" s="1">
        <v>371617.20424639602</v>
      </c>
      <c r="L13">
        <v>512</v>
      </c>
      <c r="O13">
        <v>142</v>
      </c>
      <c r="R13">
        <v>8</v>
      </c>
      <c r="U1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0.73263400000000001</v>
      </c>
      <c r="AB13" s="3">
        <v>0.72774499999999998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17">
        <v>18.377870000000001</v>
      </c>
      <c r="AJ13" s="17">
        <v>42.62</v>
      </c>
      <c r="AL13" s="17">
        <v>101</v>
      </c>
      <c r="AM13">
        <v>0.45340000000000003</v>
      </c>
      <c r="AN13" s="10">
        <v>447837305.75999999</v>
      </c>
      <c r="AO13" s="30">
        <f>tPanel_Export[[#This Row],[ASP_D_COUNT_PLAN]]+tPanel_Export[[#This Row],[C2C_COUNT_PLAN]]</f>
        <v>0</v>
      </c>
      <c r="AP13" s="30">
        <f>tPanel_Export[[#This Row],[ASP_D_COUNT_FACT]]+tPanel_Export[[#This Row],[C2C_COUNT_FACT]]</f>
        <v>8</v>
      </c>
      <c r="AQ13" s="1">
        <f>tPanel_Export[[#This Row],[MEDIUM_CHECK]]*tPanel_Export[[#This Row],[TOTAL_COUNT_FACT]]</f>
        <v>283543926.84000015</v>
      </c>
      <c r="AR13" s="10">
        <f>YEAR(tPanel_Export[[#This Row],[DATE_TO]])</f>
        <v>2015</v>
      </c>
      <c r="AS13" s="1">
        <f>MONTH(tPanel_Export[[#This Row],[DATE_TO]])</f>
        <v>12</v>
      </c>
      <c r="AT1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3" s="1">
        <f>tPanel_Export[[#This Row],[STAVKAGP]]*tPanel_Export[[#This Row],[TOTAL_SUM_FACT]]</f>
        <v>5210933426.7550306</v>
      </c>
      <c r="AV13" s="1">
        <f>tPanel_Export[[#This Row],[SROKKRED]]*tPanel_Export[[#This Row],[TOTAL_SUM_FACT]]</f>
        <v>12084642161.920797</v>
      </c>
      <c r="AW13" s="1">
        <f>tPanel_Export[[#This Row],[SV_PV]]*tPanel_Export[[#This Row],[VEHICLE_COST_RUR_AMT]]</f>
        <v>203049434.431584</v>
      </c>
      <c r="AX13" s="1">
        <f>tPanel_Export[[#This Row],[VKASKO_PENET_SHT]]*tPanel_Export[[#This Row],[TOTAL_COUNT_FACT]]</f>
        <v>0</v>
      </c>
      <c r="AY13" s="1">
        <f>tPanel_Export[[#This Row],[VKASKO_PENET_RUB]]*tPanel_Export[[#This Row],[TOTAL_SUM_FACT]]</f>
        <v>0</v>
      </c>
      <c r="AZ13" s="1">
        <f>tPanel_Export[[#This Row],[MKASKO_PENET_SHT]]*tPanel_Export[[#This Row],[TOTAL_COUNT_FACT]]</f>
        <v>0</v>
      </c>
      <c r="BA13" s="1">
        <f>tPanel_Export[[#This Row],[MKASKO_PENET_RUB]]*tPanel_Export[[#This Row],[TOTAL_SUM_FACT]]</f>
        <v>0</v>
      </c>
      <c r="BB13" s="1">
        <f>tPanel_Export[[#This Row],[SJ_PENET_SHT]]*tPanel_Export[[#This Row],[TOTAL_COUNT_FACT]]</f>
        <v>558.99974199999997</v>
      </c>
      <c r="BC13" s="1">
        <f>tPanel_Export[[#This Row],[SJ_PENET_RUB]]*tPanel_Export[[#This Row],[TOTAL_SUM_FACT]]</f>
        <v>206347675.03817576</v>
      </c>
      <c r="BD13" s="1">
        <f>tPanel_Export[[#This Row],[DKASKO_PENET_SHT]]*tPanel_Export[[#This Row],[TOTAL_COUNT_FACT]]</f>
        <v>0</v>
      </c>
      <c r="BE13" s="1">
        <f>tPanel_Export[[#This Row],[DKASKO_PENET_RUB]]*tPanel_Export[[#This Row],[TOTAL_SUM_FACT]]</f>
        <v>0</v>
      </c>
      <c r="BF13" s="1">
        <f>tPanel_Export[[#This Row],[RAMK_PENET_SHT]]*tPanel_Export[[#This Row],[TOTAL_COUNT_FACT]]</f>
        <v>0</v>
      </c>
      <c r="BG13" s="1">
        <f>tPanel_Export[[#This Row],[RAMK_PENET_RUB]]*tPanel_Export[[#This Row],[TOTAL_SUM_FACT]]</f>
        <v>0</v>
      </c>
      <c r="BH13" s="1">
        <f>tPanel_Export[[#This Row],[AVL_PENET_SHT]]*tPanel_Export[[#This Row],[TOTAL_COUNT_FACT]]</f>
        <v>0</v>
      </c>
      <c r="BI13" s="1">
        <f>tPanel_Export[[#This Row],[AVL_PENET_RUB]]*tPanel_Export[[#This Row],[TOTAL_SUM_FACT]]</f>
        <v>0</v>
      </c>
      <c r="BJ13" s="1">
        <f>1</f>
        <v>1</v>
      </c>
      <c r="BK13" s="32">
        <f>IFERROR(IF(VLOOKUP(tPanel_Export[[#This Row],[DATE_TO]],Extra2!A:C,3,0)="месяц закрыт",1,$BR$1),1)</f>
        <v>1</v>
      </c>
      <c r="BL13" s="1" t="str">
        <f>VLOOKUP(tPanel_Export[[#This Row],[MAK]],Curators!A:B,2,0)</f>
        <v>Кабдулин</v>
      </c>
    </row>
    <row r="14" spans="1:70" x14ac:dyDescent="0.25">
      <c r="A14" s="5">
        <v>42005</v>
      </c>
      <c r="B14" s="5">
        <v>42369</v>
      </c>
      <c r="C14" t="s">
        <v>14</v>
      </c>
      <c r="E14">
        <v>2392</v>
      </c>
      <c r="H14" s="1">
        <v>856936070.39999998</v>
      </c>
      <c r="J14" s="1">
        <v>358250.865551839</v>
      </c>
      <c r="L14">
        <v>1601</v>
      </c>
      <c r="O14">
        <v>293</v>
      </c>
      <c r="R14">
        <v>18</v>
      </c>
      <c r="U14">
        <v>0</v>
      </c>
      <c r="V14" s="3">
        <v>0</v>
      </c>
      <c r="W14" s="3">
        <v>9.9369999999999997E-3</v>
      </c>
      <c r="X14" s="3">
        <v>1.0370000000000001E-2</v>
      </c>
      <c r="Y14" s="3">
        <v>0</v>
      </c>
      <c r="Z14" s="3">
        <v>0</v>
      </c>
      <c r="AA14" s="3">
        <v>0.78637100000000004</v>
      </c>
      <c r="AB14" s="3">
        <v>0.76396799999999998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17">
        <v>17.907030599999999</v>
      </c>
      <c r="AJ14" s="17">
        <v>39.409999999999997</v>
      </c>
      <c r="AL14" s="17">
        <v>480</v>
      </c>
      <c r="AM14">
        <v>0.43840000000000001</v>
      </c>
      <c r="AN14" s="10">
        <v>1360703934.9300001</v>
      </c>
      <c r="AO14" s="30">
        <f>tPanel_Export[[#This Row],[ASP_D_COUNT_PLAN]]+tPanel_Export[[#This Row],[C2C_COUNT_PLAN]]</f>
        <v>0</v>
      </c>
      <c r="AP14" s="30">
        <f>tPanel_Export[[#This Row],[ASP_D_COUNT_FACT]]+tPanel_Export[[#This Row],[C2C_COUNT_FACT]]</f>
        <v>18</v>
      </c>
      <c r="AQ14" s="1">
        <f>tPanel_Export[[#This Row],[MEDIUM_CHECK]]*tPanel_Export[[#This Row],[TOTAL_COUNT_FACT]]</f>
        <v>856936070.3999989</v>
      </c>
      <c r="AR14" s="10">
        <f>YEAR(tPanel_Export[[#This Row],[DATE_TO]])</f>
        <v>2015</v>
      </c>
      <c r="AS14" s="1">
        <f>MONTH(tPanel_Export[[#This Row],[DATE_TO]])</f>
        <v>12</v>
      </c>
      <c r="AT1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4" s="1">
        <f>tPanel_Export[[#This Row],[STAVKAGP]]*tPanel_Export[[#This Row],[TOTAL_SUM_FACT]]</f>
        <v>15345180434.896553</v>
      </c>
      <c r="AV14" s="1">
        <f>tPanel_Export[[#This Row],[SROKKRED]]*tPanel_Export[[#This Row],[TOTAL_SUM_FACT]]</f>
        <v>33771850534.463997</v>
      </c>
      <c r="AW14" s="1">
        <f>tPanel_Export[[#This Row],[SV_PV]]*tPanel_Export[[#This Row],[VEHICLE_COST_RUR_AMT]]</f>
        <v>596532605.07331204</v>
      </c>
      <c r="AX14" s="1">
        <f>tPanel_Export[[#This Row],[VKASKO_PENET_SHT]]*tPanel_Export[[#This Row],[TOTAL_COUNT_FACT]]</f>
        <v>23.769303999999998</v>
      </c>
      <c r="AY14" s="1">
        <f>tPanel_Export[[#This Row],[VKASKO_PENET_RUB]]*tPanel_Export[[#This Row],[TOTAL_SUM_FACT]]</f>
        <v>8886427.0500480011</v>
      </c>
      <c r="AZ14" s="1">
        <f>tPanel_Export[[#This Row],[MKASKO_PENET_SHT]]*tPanel_Export[[#This Row],[TOTAL_COUNT_FACT]]</f>
        <v>0</v>
      </c>
      <c r="BA14" s="1">
        <f>tPanel_Export[[#This Row],[MKASKO_PENET_RUB]]*tPanel_Export[[#This Row],[TOTAL_SUM_FACT]]</f>
        <v>0</v>
      </c>
      <c r="BB14" s="1">
        <f>tPanel_Export[[#This Row],[SJ_PENET_SHT]]*tPanel_Export[[#This Row],[TOTAL_COUNT_FACT]]</f>
        <v>1880.9994320000001</v>
      </c>
      <c r="BC14" s="1">
        <f>tPanel_Export[[#This Row],[SJ_PENET_RUB]]*tPanel_Export[[#This Row],[TOTAL_SUM_FACT]]</f>
        <v>654671735.83134711</v>
      </c>
      <c r="BD14" s="1">
        <f>tPanel_Export[[#This Row],[DKASKO_PENET_SHT]]*tPanel_Export[[#This Row],[TOTAL_COUNT_FACT]]</f>
        <v>0</v>
      </c>
      <c r="BE14" s="1">
        <f>tPanel_Export[[#This Row],[DKASKO_PENET_RUB]]*tPanel_Export[[#This Row],[TOTAL_SUM_FACT]]</f>
        <v>0</v>
      </c>
      <c r="BF14" s="1">
        <f>tPanel_Export[[#This Row],[RAMK_PENET_SHT]]*tPanel_Export[[#This Row],[TOTAL_COUNT_FACT]]</f>
        <v>0</v>
      </c>
      <c r="BG14" s="1">
        <f>tPanel_Export[[#This Row],[RAMK_PENET_RUB]]*tPanel_Export[[#This Row],[TOTAL_SUM_FACT]]</f>
        <v>0</v>
      </c>
      <c r="BH14" s="1">
        <f>tPanel_Export[[#This Row],[AVL_PENET_SHT]]*tPanel_Export[[#This Row],[TOTAL_COUNT_FACT]]</f>
        <v>0</v>
      </c>
      <c r="BI14" s="1">
        <f>tPanel_Export[[#This Row],[AVL_PENET_RUB]]*tPanel_Export[[#This Row],[TOTAL_SUM_FACT]]</f>
        <v>0</v>
      </c>
      <c r="BJ14" s="1">
        <f>1</f>
        <v>1</v>
      </c>
      <c r="BK14" s="32">
        <f>IFERROR(IF(VLOOKUP(tPanel_Export[[#This Row],[DATE_TO]],Extra2!A:C,3,0)="месяц закрыт",1,$BR$1),1)</f>
        <v>1</v>
      </c>
      <c r="BL14" s="1" t="str">
        <f>VLOOKUP(tPanel_Export[[#This Row],[MAK]],Curators!A:B,2,0)</f>
        <v>Капшук</v>
      </c>
    </row>
    <row r="15" spans="1:70" x14ac:dyDescent="0.25">
      <c r="A15" s="5">
        <v>42005</v>
      </c>
      <c r="B15" s="5">
        <v>42369</v>
      </c>
      <c r="C15" t="s">
        <v>4</v>
      </c>
      <c r="E15">
        <v>937</v>
      </c>
      <c r="H15" s="1">
        <v>326623556.86000001</v>
      </c>
      <c r="J15" s="1">
        <v>348584.37231590197</v>
      </c>
      <c r="L15">
        <v>734</v>
      </c>
      <c r="O15">
        <v>104</v>
      </c>
      <c r="R15">
        <v>4</v>
      </c>
      <c r="U15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0.84098200000000001</v>
      </c>
      <c r="AB15" s="3">
        <v>0.78647299999999998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17">
        <v>18.235315</v>
      </c>
      <c r="AJ15" s="17">
        <v>39.9</v>
      </c>
      <c r="AL15" s="17">
        <v>95</v>
      </c>
      <c r="AM15">
        <v>0.41689999999999999</v>
      </c>
      <c r="AN15" s="10">
        <v>487544965.31</v>
      </c>
      <c r="AO15" s="30">
        <f>tPanel_Export[[#This Row],[ASP_D_COUNT_PLAN]]+tPanel_Export[[#This Row],[C2C_COUNT_PLAN]]</f>
        <v>0</v>
      </c>
      <c r="AP15" s="30">
        <f>tPanel_Export[[#This Row],[ASP_D_COUNT_FACT]]+tPanel_Export[[#This Row],[C2C_COUNT_FACT]]</f>
        <v>4</v>
      </c>
      <c r="AQ15" s="1">
        <f>tPanel_Export[[#This Row],[MEDIUM_CHECK]]*tPanel_Export[[#This Row],[TOTAL_COUNT_FACT]]</f>
        <v>326623556.86000013</v>
      </c>
      <c r="AR15" s="10">
        <f>YEAR(tPanel_Export[[#This Row],[DATE_TO]])</f>
        <v>2015</v>
      </c>
      <c r="AS15" s="1">
        <f>MONTH(tPanel_Export[[#This Row],[DATE_TO]])</f>
        <v>12</v>
      </c>
      <c r="AT1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5" s="1">
        <f>tPanel_Export[[#This Row],[STAVKAGP]]*tPanel_Export[[#This Row],[TOTAL_SUM_FACT]]</f>
        <v>5956083445.7625113</v>
      </c>
      <c r="AV15" s="1">
        <f>tPanel_Export[[#This Row],[SROKKRED]]*tPanel_Export[[#This Row],[TOTAL_SUM_FACT]]</f>
        <v>13032279918.714001</v>
      </c>
      <c r="AW15" s="1">
        <f>tPanel_Export[[#This Row],[SV_PV]]*tPanel_Export[[#This Row],[VEHICLE_COST_RUR_AMT]]</f>
        <v>203257496.03773901</v>
      </c>
      <c r="AX15" s="1">
        <f>tPanel_Export[[#This Row],[VKASKO_PENET_SHT]]*tPanel_Export[[#This Row],[TOTAL_COUNT_FACT]]</f>
        <v>0</v>
      </c>
      <c r="AY15" s="1">
        <f>tPanel_Export[[#This Row],[VKASKO_PENET_RUB]]*tPanel_Export[[#This Row],[TOTAL_SUM_FACT]]</f>
        <v>0</v>
      </c>
      <c r="AZ15" s="1">
        <f>tPanel_Export[[#This Row],[MKASKO_PENET_SHT]]*tPanel_Export[[#This Row],[TOTAL_COUNT_FACT]]</f>
        <v>0</v>
      </c>
      <c r="BA15" s="1">
        <f>tPanel_Export[[#This Row],[MKASKO_PENET_RUB]]*tPanel_Export[[#This Row],[TOTAL_SUM_FACT]]</f>
        <v>0</v>
      </c>
      <c r="BB15" s="1">
        <f>tPanel_Export[[#This Row],[SJ_PENET_SHT]]*tPanel_Export[[#This Row],[TOTAL_COUNT_FACT]]</f>
        <v>788.000134</v>
      </c>
      <c r="BC15" s="1">
        <f>tPanel_Export[[#This Row],[SJ_PENET_RUB]]*tPanel_Export[[#This Row],[TOTAL_SUM_FACT]]</f>
        <v>256880608.63435477</v>
      </c>
      <c r="BD15" s="1">
        <f>tPanel_Export[[#This Row],[DKASKO_PENET_SHT]]*tPanel_Export[[#This Row],[TOTAL_COUNT_FACT]]</f>
        <v>0</v>
      </c>
      <c r="BE15" s="1">
        <f>tPanel_Export[[#This Row],[DKASKO_PENET_RUB]]*tPanel_Export[[#This Row],[TOTAL_SUM_FACT]]</f>
        <v>0</v>
      </c>
      <c r="BF15" s="1">
        <f>tPanel_Export[[#This Row],[RAMK_PENET_SHT]]*tPanel_Export[[#This Row],[TOTAL_COUNT_FACT]]</f>
        <v>0</v>
      </c>
      <c r="BG15" s="1">
        <f>tPanel_Export[[#This Row],[RAMK_PENET_RUB]]*tPanel_Export[[#This Row],[TOTAL_SUM_FACT]]</f>
        <v>0</v>
      </c>
      <c r="BH15" s="1">
        <f>tPanel_Export[[#This Row],[AVL_PENET_SHT]]*tPanel_Export[[#This Row],[TOTAL_COUNT_FACT]]</f>
        <v>0</v>
      </c>
      <c r="BI15" s="1">
        <f>tPanel_Export[[#This Row],[AVL_PENET_RUB]]*tPanel_Export[[#This Row],[TOTAL_SUM_FACT]]</f>
        <v>0</v>
      </c>
      <c r="BJ15" s="1">
        <f>1</f>
        <v>1</v>
      </c>
      <c r="BK15" s="32">
        <f>IFERROR(IF(VLOOKUP(tPanel_Export[[#This Row],[DATE_TO]],Extra2!A:C,3,0)="месяц закрыт",1,$BR$1),1)</f>
        <v>1</v>
      </c>
      <c r="BL15" s="1" t="str">
        <f>VLOOKUP(tPanel_Export[[#This Row],[MAK]],Curators!A:B,2,0)</f>
        <v>Швейцаров</v>
      </c>
    </row>
    <row r="16" spans="1:70" x14ac:dyDescent="0.25">
      <c r="A16" s="5">
        <v>42005</v>
      </c>
      <c r="B16" s="5">
        <v>42369</v>
      </c>
      <c r="C16" t="s">
        <v>33</v>
      </c>
      <c r="E16">
        <v>486</v>
      </c>
      <c r="H16" s="1">
        <v>206754087.78</v>
      </c>
      <c r="J16" s="1">
        <v>425419.93370370398</v>
      </c>
      <c r="L16">
        <v>347</v>
      </c>
      <c r="O16">
        <v>84</v>
      </c>
      <c r="R16">
        <v>17</v>
      </c>
      <c r="U16">
        <v>0</v>
      </c>
      <c r="V16" s="3">
        <v>0</v>
      </c>
      <c r="W16" s="3">
        <v>2.2321000000000001E-2</v>
      </c>
      <c r="X16" s="3">
        <v>2.2523000000000001E-2</v>
      </c>
      <c r="Y16" s="3">
        <v>0</v>
      </c>
      <c r="Z16" s="3">
        <v>0</v>
      </c>
      <c r="AA16" s="3">
        <v>0.74897100000000005</v>
      </c>
      <c r="AB16" s="3">
        <v>0.64957500000000001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17">
        <v>18.169781400000002</v>
      </c>
      <c r="AJ16" s="17">
        <v>43.11</v>
      </c>
      <c r="AL16" s="17">
        <v>38</v>
      </c>
      <c r="AM16">
        <v>0.4365</v>
      </c>
      <c r="AN16" s="10">
        <v>332453967.29000002</v>
      </c>
      <c r="AO16" s="30">
        <f>tPanel_Export[[#This Row],[ASP_D_COUNT_PLAN]]+tPanel_Export[[#This Row],[C2C_COUNT_PLAN]]</f>
        <v>0</v>
      </c>
      <c r="AP16" s="30">
        <f>tPanel_Export[[#This Row],[ASP_D_COUNT_FACT]]+tPanel_Export[[#This Row],[C2C_COUNT_FACT]]</f>
        <v>17</v>
      </c>
      <c r="AQ16" s="1">
        <f>tPanel_Export[[#This Row],[MEDIUM_CHECK]]*tPanel_Export[[#This Row],[TOTAL_COUNT_FACT]]</f>
        <v>206754087.78000012</v>
      </c>
      <c r="AR16" s="10">
        <f>YEAR(tPanel_Export[[#This Row],[DATE_TO]])</f>
        <v>2015</v>
      </c>
      <c r="AS16" s="1">
        <f>MONTH(tPanel_Export[[#This Row],[DATE_TO]])</f>
        <v>12</v>
      </c>
      <c r="AT16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6" s="1">
        <f>tPanel_Export[[#This Row],[STAVKAGP]]*tPanel_Export[[#This Row],[TOTAL_SUM_FACT]]</f>
        <v>3756676578.5190115</v>
      </c>
      <c r="AV16" s="1">
        <f>tPanel_Export[[#This Row],[SROKKRED]]*tPanel_Export[[#This Row],[TOTAL_SUM_FACT]]</f>
        <v>8913168724.1958008</v>
      </c>
      <c r="AW16" s="1">
        <f>tPanel_Export[[#This Row],[SV_PV]]*tPanel_Export[[#This Row],[VEHICLE_COST_RUR_AMT]]</f>
        <v>145116156.722085</v>
      </c>
      <c r="AX16" s="1">
        <f>tPanel_Export[[#This Row],[VKASKO_PENET_SHT]]*tPanel_Export[[#This Row],[TOTAL_COUNT_FACT]]</f>
        <v>10.848006</v>
      </c>
      <c r="AY16" s="1">
        <f>tPanel_Export[[#This Row],[VKASKO_PENET_RUB]]*tPanel_Export[[#This Row],[TOTAL_SUM_FACT]]</f>
        <v>4656722.3190689404</v>
      </c>
      <c r="AZ16" s="1">
        <f>tPanel_Export[[#This Row],[MKASKO_PENET_SHT]]*tPanel_Export[[#This Row],[TOTAL_COUNT_FACT]]</f>
        <v>0</v>
      </c>
      <c r="BA16" s="1">
        <f>tPanel_Export[[#This Row],[MKASKO_PENET_RUB]]*tPanel_Export[[#This Row],[TOTAL_SUM_FACT]]</f>
        <v>0</v>
      </c>
      <c r="BB16" s="1">
        <f>tPanel_Export[[#This Row],[SJ_PENET_SHT]]*tPanel_Export[[#This Row],[TOTAL_COUNT_FACT]]</f>
        <v>363.99990600000001</v>
      </c>
      <c r="BC16" s="1">
        <f>tPanel_Export[[#This Row],[SJ_PENET_RUB]]*tPanel_Export[[#This Row],[TOTAL_SUM_FACT]]</f>
        <v>134302286.56969351</v>
      </c>
      <c r="BD16" s="1">
        <f>tPanel_Export[[#This Row],[DKASKO_PENET_SHT]]*tPanel_Export[[#This Row],[TOTAL_COUNT_FACT]]</f>
        <v>0</v>
      </c>
      <c r="BE16" s="1">
        <f>tPanel_Export[[#This Row],[DKASKO_PENET_RUB]]*tPanel_Export[[#This Row],[TOTAL_SUM_FACT]]</f>
        <v>0</v>
      </c>
      <c r="BF16" s="1">
        <f>tPanel_Export[[#This Row],[RAMK_PENET_SHT]]*tPanel_Export[[#This Row],[TOTAL_COUNT_FACT]]</f>
        <v>0</v>
      </c>
      <c r="BG16" s="1">
        <f>tPanel_Export[[#This Row],[RAMK_PENET_RUB]]*tPanel_Export[[#This Row],[TOTAL_SUM_FACT]]</f>
        <v>0</v>
      </c>
      <c r="BH16" s="1">
        <f>tPanel_Export[[#This Row],[AVL_PENET_SHT]]*tPanel_Export[[#This Row],[TOTAL_COUNT_FACT]]</f>
        <v>0</v>
      </c>
      <c r="BI16" s="1">
        <f>tPanel_Export[[#This Row],[AVL_PENET_RUB]]*tPanel_Export[[#This Row],[TOTAL_SUM_FACT]]</f>
        <v>0</v>
      </c>
      <c r="BJ16" s="1">
        <f>1</f>
        <v>1</v>
      </c>
      <c r="BK16" s="32">
        <f>IFERROR(IF(VLOOKUP(tPanel_Export[[#This Row],[DATE_TO]],Extra2!A:C,3,0)="месяц закрыт",1,$BR$1),1)</f>
        <v>1</v>
      </c>
      <c r="BL16" s="1" t="str">
        <f>VLOOKUP(tPanel_Export[[#This Row],[MAK]],Curators!A:B,2,0)</f>
        <v>Иванов</v>
      </c>
    </row>
    <row r="17" spans="1:64" x14ac:dyDescent="0.25">
      <c r="A17" s="5">
        <v>42005</v>
      </c>
      <c r="B17" s="5">
        <v>42369</v>
      </c>
      <c r="C17" t="s">
        <v>15</v>
      </c>
      <c r="E17">
        <v>2030</v>
      </c>
      <c r="H17" s="1">
        <v>608510731.82000005</v>
      </c>
      <c r="J17" s="1">
        <v>299758.98119211802</v>
      </c>
      <c r="L17">
        <v>1609</v>
      </c>
      <c r="O17">
        <v>124</v>
      </c>
      <c r="R17">
        <v>29</v>
      </c>
      <c r="U17">
        <v>0</v>
      </c>
      <c r="V17" s="3">
        <v>0</v>
      </c>
      <c r="W17" s="3">
        <v>5.6800000000000004E-4</v>
      </c>
      <c r="X17" s="3">
        <v>7.4799999999999997E-4</v>
      </c>
      <c r="Y17" s="3">
        <v>4.9299999999999995E-4</v>
      </c>
      <c r="Z17" s="3">
        <v>1.7489999999999999E-3</v>
      </c>
      <c r="AA17" s="3">
        <v>0.76699499999999998</v>
      </c>
      <c r="AB17" s="3">
        <v>0.69731200000000004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17">
        <v>18.490157700000001</v>
      </c>
      <c r="AJ17" s="17">
        <v>40.159999999999997</v>
      </c>
      <c r="AL17" s="17">
        <v>268</v>
      </c>
      <c r="AM17">
        <v>0.46589999999999998</v>
      </c>
      <c r="AN17" s="10">
        <v>1005741606.42</v>
      </c>
      <c r="AO17" s="30">
        <f>tPanel_Export[[#This Row],[ASP_D_COUNT_PLAN]]+tPanel_Export[[#This Row],[C2C_COUNT_PLAN]]</f>
        <v>0</v>
      </c>
      <c r="AP17" s="30">
        <f>tPanel_Export[[#This Row],[ASP_D_COUNT_FACT]]+tPanel_Export[[#This Row],[C2C_COUNT_FACT]]</f>
        <v>29</v>
      </c>
      <c r="AQ17" s="1">
        <f>tPanel_Export[[#This Row],[MEDIUM_CHECK]]*tPanel_Export[[#This Row],[TOTAL_COUNT_FACT]]</f>
        <v>608510731.81999958</v>
      </c>
      <c r="AR17" s="10">
        <f>YEAR(tPanel_Export[[#This Row],[DATE_TO]])</f>
        <v>2015</v>
      </c>
      <c r="AS17" s="1">
        <f>MONTH(tPanel_Export[[#This Row],[DATE_TO]])</f>
        <v>12</v>
      </c>
      <c r="AT17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7" s="1">
        <f>tPanel_Export[[#This Row],[STAVKAGP]]*tPanel_Export[[#This Row],[TOTAL_SUM_FACT]]</f>
        <v>11251459393.494209</v>
      </c>
      <c r="AV17" s="1">
        <f>tPanel_Export[[#This Row],[SROKKRED]]*tPanel_Export[[#This Row],[TOTAL_SUM_FACT]]</f>
        <v>24437790989.891201</v>
      </c>
      <c r="AW17" s="1">
        <f>tPanel_Export[[#This Row],[SV_PV]]*tPanel_Export[[#This Row],[VEHICLE_COST_RUR_AMT]]</f>
        <v>468575014.43107796</v>
      </c>
      <c r="AX17" s="1">
        <f>tPanel_Export[[#This Row],[VKASKO_PENET_SHT]]*tPanel_Export[[#This Row],[TOTAL_COUNT_FACT]]</f>
        <v>1.1530400000000001</v>
      </c>
      <c r="AY17" s="1">
        <f>tPanel_Export[[#This Row],[VKASKO_PENET_RUB]]*tPanel_Export[[#This Row],[TOTAL_SUM_FACT]]</f>
        <v>455166.02740136004</v>
      </c>
      <c r="AZ17" s="1">
        <f>tPanel_Export[[#This Row],[MKASKO_PENET_SHT]]*tPanel_Export[[#This Row],[TOTAL_COUNT_FACT]]</f>
        <v>1.0007899999999998</v>
      </c>
      <c r="BA17" s="1">
        <f>tPanel_Export[[#This Row],[MKASKO_PENET_RUB]]*tPanel_Export[[#This Row],[TOTAL_SUM_FACT]]</f>
        <v>1064285.2699531801</v>
      </c>
      <c r="BB17" s="1">
        <f>tPanel_Export[[#This Row],[SJ_PENET_SHT]]*tPanel_Export[[#This Row],[TOTAL_COUNT_FACT]]</f>
        <v>1556.9998499999999</v>
      </c>
      <c r="BC17" s="1">
        <f>tPanel_Export[[#This Row],[SJ_PENET_RUB]]*tPanel_Export[[#This Row],[TOTAL_SUM_FACT]]</f>
        <v>424321835.4268679</v>
      </c>
      <c r="BD17" s="1">
        <f>tPanel_Export[[#This Row],[DKASKO_PENET_SHT]]*tPanel_Export[[#This Row],[TOTAL_COUNT_FACT]]</f>
        <v>0</v>
      </c>
      <c r="BE17" s="1">
        <f>tPanel_Export[[#This Row],[DKASKO_PENET_RUB]]*tPanel_Export[[#This Row],[TOTAL_SUM_FACT]]</f>
        <v>0</v>
      </c>
      <c r="BF17" s="1">
        <f>tPanel_Export[[#This Row],[RAMK_PENET_SHT]]*tPanel_Export[[#This Row],[TOTAL_COUNT_FACT]]</f>
        <v>0</v>
      </c>
      <c r="BG17" s="1">
        <f>tPanel_Export[[#This Row],[RAMK_PENET_RUB]]*tPanel_Export[[#This Row],[TOTAL_SUM_FACT]]</f>
        <v>0</v>
      </c>
      <c r="BH17" s="1">
        <f>tPanel_Export[[#This Row],[AVL_PENET_SHT]]*tPanel_Export[[#This Row],[TOTAL_COUNT_FACT]]</f>
        <v>0</v>
      </c>
      <c r="BI17" s="1">
        <f>tPanel_Export[[#This Row],[AVL_PENET_RUB]]*tPanel_Export[[#This Row],[TOTAL_SUM_FACT]]</f>
        <v>0</v>
      </c>
      <c r="BJ17" s="1">
        <f>1</f>
        <v>1</v>
      </c>
      <c r="BK17" s="32">
        <f>IFERROR(IF(VLOOKUP(tPanel_Export[[#This Row],[DATE_TO]],Extra2!A:C,3,0)="месяц закрыт",1,$BR$1),1)</f>
        <v>1</v>
      </c>
      <c r="BL17" s="1" t="str">
        <f>VLOOKUP(tPanel_Export[[#This Row],[MAK]],Curators!A:B,2,0)</f>
        <v>Чаусов</v>
      </c>
    </row>
    <row r="18" spans="1:64" x14ac:dyDescent="0.25">
      <c r="A18" s="5">
        <v>42005</v>
      </c>
      <c r="B18" s="5">
        <v>42369</v>
      </c>
      <c r="E18">
        <v>12</v>
      </c>
      <c r="H18" s="1">
        <v>7275079.7000000002</v>
      </c>
      <c r="J18" s="1">
        <v>606256.64166666695</v>
      </c>
      <c r="U18">
        <v>0</v>
      </c>
      <c r="V18" s="3">
        <v>0</v>
      </c>
      <c r="AL18" s="17">
        <v>0</v>
      </c>
      <c r="AO18" s="30">
        <f>tPanel_Export[[#This Row],[ASP_D_COUNT_PLAN]]+tPanel_Export[[#This Row],[C2C_COUNT_PLAN]]</f>
        <v>0</v>
      </c>
      <c r="AP18" s="30">
        <f>tPanel_Export[[#This Row],[ASP_D_COUNT_FACT]]+tPanel_Export[[#This Row],[C2C_COUNT_FACT]]</f>
        <v>0</v>
      </c>
      <c r="AQ18" s="1">
        <f>tPanel_Export[[#This Row],[MEDIUM_CHECK]]*tPanel_Export[[#This Row],[TOTAL_COUNT_FACT]]</f>
        <v>7275079.700000003</v>
      </c>
      <c r="AR18" s="10">
        <f>YEAR(tPanel_Export[[#This Row],[DATE_TO]])</f>
        <v>2015</v>
      </c>
      <c r="AS18" s="1">
        <f>MONTH(tPanel_Export[[#This Row],[DATE_TO]])</f>
        <v>12</v>
      </c>
      <c r="AT18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8" s="1">
        <f>tPanel_Export[[#This Row],[STAVKAGP]]*tPanel_Export[[#This Row],[TOTAL_SUM_FACT]]</f>
        <v>0</v>
      </c>
      <c r="AV18" s="1">
        <f>tPanel_Export[[#This Row],[SROKKRED]]*tPanel_Export[[#This Row],[TOTAL_SUM_FACT]]</f>
        <v>0</v>
      </c>
      <c r="AW18" s="1">
        <f>tPanel_Export[[#This Row],[SV_PV]]*tPanel_Export[[#This Row],[VEHICLE_COST_RUR_AMT]]</f>
        <v>0</v>
      </c>
      <c r="AX18" s="1">
        <f>tPanel_Export[[#This Row],[VKASKO_PENET_SHT]]*tPanel_Export[[#This Row],[TOTAL_COUNT_FACT]]</f>
        <v>0</v>
      </c>
      <c r="AY18" s="1">
        <f>tPanel_Export[[#This Row],[VKASKO_PENET_RUB]]*tPanel_Export[[#This Row],[TOTAL_SUM_FACT]]</f>
        <v>0</v>
      </c>
      <c r="AZ18" s="1">
        <f>tPanel_Export[[#This Row],[MKASKO_PENET_SHT]]*tPanel_Export[[#This Row],[TOTAL_COUNT_FACT]]</f>
        <v>0</v>
      </c>
      <c r="BA18" s="1">
        <f>tPanel_Export[[#This Row],[MKASKO_PENET_RUB]]*tPanel_Export[[#This Row],[TOTAL_SUM_FACT]]</f>
        <v>0</v>
      </c>
      <c r="BB18" s="1">
        <f>tPanel_Export[[#This Row],[SJ_PENET_SHT]]*tPanel_Export[[#This Row],[TOTAL_COUNT_FACT]]</f>
        <v>0</v>
      </c>
      <c r="BC18" s="1">
        <f>tPanel_Export[[#This Row],[SJ_PENET_RUB]]*tPanel_Export[[#This Row],[TOTAL_SUM_FACT]]</f>
        <v>0</v>
      </c>
      <c r="BD18" s="1">
        <f>tPanel_Export[[#This Row],[DKASKO_PENET_SHT]]*tPanel_Export[[#This Row],[TOTAL_COUNT_FACT]]</f>
        <v>0</v>
      </c>
      <c r="BE18" s="1">
        <f>tPanel_Export[[#This Row],[DKASKO_PENET_RUB]]*tPanel_Export[[#This Row],[TOTAL_SUM_FACT]]</f>
        <v>0</v>
      </c>
      <c r="BF18" s="1">
        <f>tPanel_Export[[#This Row],[RAMK_PENET_SHT]]*tPanel_Export[[#This Row],[TOTAL_COUNT_FACT]]</f>
        <v>0</v>
      </c>
      <c r="BG18" s="1">
        <f>tPanel_Export[[#This Row],[RAMK_PENET_RUB]]*tPanel_Export[[#This Row],[TOTAL_SUM_FACT]]</f>
        <v>0</v>
      </c>
      <c r="BH18" s="1">
        <f>tPanel_Export[[#This Row],[AVL_PENET_SHT]]*tPanel_Export[[#This Row],[TOTAL_COUNT_FACT]]</f>
        <v>0</v>
      </c>
      <c r="BI18" s="1">
        <f>tPanel_Export[[#This Row],[AVL_PENET_RUB]]*tPanel_Export[[#This Row],[TOTAL_SUM_FACT]]</f>
        <v>0</v>
      </c>
      <c r="BJ18" s="1">
        <f>1</f>
        <v>1</v>
      </c>
      <c r="BK18" s="32">
        <f>IFERROR(IF(VLOOKUP(tPanel_Export[[#This Row],[DATE_TO]],Extra2!A:C,3,0)="месяц закрыт",1,$BR$1),1)</f>
        <v>1</v>
      </c>
      <c r="BL18" s="1" t="s">
        <v>157</v>
      </c>
    </row>
    <row r="19" spans="1:64" x14ac:dyDescent="0.25">
      <c r="A19" s="5">
        <v>42005</v>
      </c>
      <c r="B19" s="5">
        <v>42369</v>
      </c>
      <c r="C19" t="s">
        <v>18</v>
      </c>
      <c r="E19">
        <v>605</v>
      </c>
      <c r="H19" s="1">
        <v>186732998.11000001</v>
      </c>
      <c r="J19" s="1">
        <v>308649.58365289302</v>
      </c>
      <c r="L19">
        <v>353</v>
      </c>
      <c r="O19">
        <v>87</v>
      </c>
      <c r="R19">
        <v>14</v>
      </c>
      <c r="U19">
        <v>0</v>
      </c>
      <c r="V19" s="3">
        <v>0</v>
      </c>
      <c r="W19" s="3">
        <v>2.2030000000000001E-3</v>
      </c>
      <c r="X19" s="3">
        <v>2.4529999999999999E-3</v>
      </c>
      <c r="Y19" s="3">
        <v>0</v>
      </c>
      <c r="Z19" s="3">
        <v>0</v>
      </c>
      <c r="AA19" s="3">
        <v>0.69421500000000003</v>
      </c>
      <c r="AB19" s="3">
        <v>0.60636999999999996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17">
        <v>18.417108500000001</v>
      </c>
      <c r="AJ19" s="17">
        <v>40.97</v>
      </c>
      <c r="AL19" s="17">
        <v>151</v>
      </c>
      <c r="AM19">
        <v>0.4335</v>
      </c>
      <c r="AN19" s="10">
        <v>295061669.00999999</v>
      </c>
      <c r="AO19" s="30">
        <f>tPanel_Export[[#This Row],[ASP_D_COUNT_PLAN]]+tPanel_Export[[#This Row],[C2C_COUNT_PLAN]]</f>
        <v>0</v>
      </c>
      <c r="AP19" s="30">
        <f>tPanel_Export[[#This Row],[ASP_D_COUNT_FACT]]+tPanel_Export[[#This Row],[C2C_COUNT_FACT]]</f>
        <v>14</v>
      </c>
      <c r="AQ19" s="1">
        <f>tPanel_Export[[#This Row],[MEDIUM_CHECK]]*tPanel_Export[[#This Row],[TOTAL_COUNT_FACT]]</f>
        <v>186732998.11000028</v>
      </c>
      <c r="AR19" s="10">
        <f>YEAR(tPanel_Export[[#This Row],[DATE_TO]])</f>
        <v>2015</v>
      </c>
      <c r="AS19" s="1">
        <f>MONTH(tPanel_Export[[#This Row],[DATE_TO]])</f>
        <v>12</v>
      </c>
      <c r="AT19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19" s="1">
        <f>tPanel_Export[[#This Row],[STAVKAGP]]*tPanel_Export[[#This Row],[TOTAL_SUM_FACT]]</f>
        <v>3439081886.7221656</v>
      </c>
      <c r="AV19" s="1">
        <f>tPanel_Export[[#This Row],[SROKKRED]]*tPanel_Export[[#This Row],[TOTAL_SUM_FACT]]</f>
        <v>7650450932.5667</v>
      </c>
      <c r="AW19" s="1">
        <f>tPanel_Export[[#This Row],[SV_PV]]*tPanel_Export[[#This Row],[VEHICLE_COST_RUR_AMT]]</f>
        <v>127909233.515835</v>
      </c>
      <c r="AX19" s="1">
        <f>tPanel_Export[[#This Row],[VKASKO_PENET_SHT]]*tPanel_Export[[#This Row],[TOTAL_COUNT_FACT]]</f>
        <v>1.3328150000000001</v>
      </c>
      <c r="AY19" s="1">
        <f>tPanel_Export[[#This Row],[VKASKO_PENET_RUB]]*tPanel_Export[[#This Row],[TOTAL_SUM_FACT]]</f>
        <v>458056.04436383001</v>
      </c>
      <c r="AZ19" s="1">
        <f>tPanel_Export[[#This Row],[MKASKO_PENET_SHT]]*tPanel_Export[[#This Row],[TOTAL_COUNT_FACT]]</f>
        <v>0</v>
      </c>
      <c r="BA19" s="1">
        <f>tPanel_Export[[#This Row],[MKASKO_PENET_RUB]]*tPanel_Export[[#This Row],[TOTAL_SUM_FACT]]</f>
        <v>0</v>
      </c>
      <c r="BB19" s="1">
        <f>tPanel_Export[[#This Row],[SJ_PENET_SHT]]*tPanel_Export[[#This Row],[TOTAL_COUNT_FACT]]</f>
        <v>420.00007500000004</v>
      </c>
      <c r="BC19" s="1">
        <f>tPanel_Export[[#This Row],[SJ_PENET_RUB]]*tPanel_Export[[#This Row],[TOTAL_SUM_FACT]]</f>
        <v>113229288.0639607</v>
      </c>
      <c r="BD19" s="1">
        <f>tPanel_Export[[#This Row],[DKASKO_PENET_SHT]]*tPanel_Export[[#This Row],[TOTAL_COUNT_FACT]]</f>
        <v>0</v>
      </c>
      <c r="BE19" s="1">
        <f>tPanel_Export[[#This Row],[DKASKO_PENET_RUB]]*tPanel_Export[[#This Row],[TOTAL_SUM_FACT]]</f>
        <v>0</v>
      </c>
      <c r="BF19" s="1">
        <f>tPanel_Export[[#This Row],[RAMK_PENET_SHT]]*tPanel_Export[[#This Row],[TOTAL_COUNT_FACT]]</f>
        <v>0</v>
      </c>
      <c r="BG19" s="1">
        <f>tPanel_Export[[#This Row],[RAMK_PENET_RUB]]*tPanel_Export[[#This Row],[TOTAL_SUM_FACT]]</f>
        <v>0</v>
      </c>
      <c r="BH19" s="1">
        <f>tPanel_Export[[#This Row],[AVL_PENET_SHT]]*tPanel_Export[[#This Row],[TOTAL_COUNT_FACT]]</f>
        <v>0</v>
      </c>
      <c r="BI19" s="1">
        <f>tPanel_Export[[#This Row],[AVL_PENET_RUB]]*tPanel_Export[[#This Row],[TOTAL_SUM_FACT]]</f>
        <v>0</v>
      </c>
      <c r="BJ19" s="1">
        <f>1</f>
        <v>1</v>
      </c>
      <c r="BK19" s="32">
        <f>IFERROR(IF(VLOOKUP(tPanel_Export[[#This Row],[DATE_TO]],Extra2!A:C,3,0)="месяц закрыт",1,$BR$1),1)</f>
        <v>1</v>
      </c>
      <c r="BL19" s="1" t="str">
        <f>VLOOKUP(tPanel_Export[[#This Row],[MAK]],Curators!A:B,2,0)</f>
        <v>Чаусов</v>
      </c>
    </row>
    <row r="20" spans="1:64" x14ac:dyDescent="0.25">
      <c r="A20" s="5">
        <v>42005</v>
      </c>
      <c r="B20" s="5">
        <v>42369</v>
      </c>
      <c r="C20" t="s">
        <v>11</v>
      </c>
      <c r="E20">
        <v>850</v>
      </c>
      <c r="H20" s="1">
        <v>425527041.88</v>
      </c>
      <c r="J20" s="1">
        <v>500620.04927058797</v>
      </c>
      <c r="L20">
        <v>605</v>
      </c>
      <c r="O20">
        <v>164</v>
      </c>
      <c r="R20">
        <v>39</v>
      </c>
      <c r="U20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0.67294100000000001</v>
      </c>
      <c r="AB20" s="3">
        <v>0.61160000000000003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17">
        <v>18.451528199999998</v>
      </c>
      <c r="AJ20" s="17">
        <v>43.94</v>
      </c>
      <c r="AL20" s="17">
        <v>42</v>
      </c>
      <c r="AM20">
        <v>0.43140000000000001</v>
      </c>
      <c r="AN20" s="10">
        <v>680451570.41999996</v>
      </c>
      <c r="AO20" s="30">
        <f>tPanel_Export[[#This Row],[ASP_D_COUNT_PLAN]]+tPanel_Export[[#This Row],[C2C_COUNT_PLAN]]</f>
        <v>0</v>
      </c>
      <c r="AP20" s="30">
        <f>tPanel_Export[[#This Row],[ASP_D_COUNT_FACT]]+tPanel_Export[[#This Row],[C2C_COUNT_FACT]]</f>
        <v>39</v>
      </c>
      <c r="AQ20" s="1">
        <f>tPanel_Export[[#This Row],[MEDIUM_CHECK]]*tPanel_Export[[#This Row],[TOTAL_COUNT_FACT]]</f>
        <v>425527041.87999976</v>
      </c>
      <c r="AR20" s="10">
        <f>YEAR(tPanel_Export[[#This Row],[DATE_TO]])</f>
        <v>2015</v>
      </c>
      <c r="AS20" s="1">
        <f>MONTH(tPanel_Export[[#This Row],[DATE_TO]])</f>
        <v>12</v>
      </c>
      <c r="AT20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0" s="1">
        <f>tPanel_Export[[#This Row],[STAVKAGP]]*tPanel_Export[[#This Row],[TOTAL_SUM_FACT]]</f>
        <v>7851624213.1114006</v>
      </c>
      <c r="AV20" s="1">
        <f>tPanel_Export[[#This Row],[SROKKRED]]*tPanel_Export[[#This Row],[TOTAL_SUM_FACT]]</f>
        <v>18697658220.207199</v>
      </c>
      <c r="AW20" s="1">
        <f>tPanel_Export[[#This Row],[SV_PV]]*tPanel_Export[[#This Row],[VEHICLE_COST_RUR_AMT]]</f>
        <v>293546807.47918797</v>
      </c>
      <c r="AX20" s="1">
        <f>tPanel_Export[[#This Row],[VKASKO_PENET_SHT]]*tPanel_Export[[#This Row],[TOTAL_COUNT_FACT]]</f>
        <v>0</v>
      </c>
      <c r="AY20" s="1">
        <f>tPanel_Export[[#This Row],[VKASKO_PENET_RUB]]*tPanel_Export[[#This Row],[TOTAL_SUM_FACT]]</f>
        <v>0</v>
      </c>
      <c r="AZ20" s="1">
        <f>tPanel_Export[[#This Row],[MKASKO_PENET_SHT]]*tPanel_Export[[#This Row],[TOTAL_COUNT_FACT]]</f>
        <v>0</v>
      </c>
      <c r="BA20" s="1">
        <f>tPanel_Export[[#This Row],[MKASKO_PENET_RUB]]*tPanel_Export[[#This Row],[TOTAL_SUM_FACT]]</f>
        <v>0</v>
      </c>
      <c r="BB20" s="1">
        <f>tPanel_Export[[#This Row],[SJ_PENET_SHT]]*tPanel_Export[[#This Row],[TOTAL_COUNT_FACT]]</f>
        <v>571.99985000000004</v>
      </c>
      <c r="BC20" s="1">
        <f>tPanel_Export[[#This Row],[SJ_PENET_RUB]]*tPanel_Export[[#This Row],[TOTAL_SUM_FACT]]</f>
        <v>260252338.81380802</v>
      </c>
      <c r="BD20" s="1">
        <f>tPanel_Export[[#This Row],[DKASKO_PENET_SHT]]*tPanel_Export[[#This Row],[TOTAL_COUNT_FACT]]</f>
        <v>0</v>
      </c>
      <c r="BE20" s="1">
        <f>tPanel_Export[[#This Row],[DKASKO_PENET_RUB]]*tPanel_Export[[#This Row],[TOTAL_SUM_FACT]]</f>
        <v>0</v>
      </c>
      <c r="BF20" s="1">
        <f>tPanel_Export[[#This Row],[RAMK_PENET_SHT]]*tPanel_Export[[#This Row],[TOTAL_COUNT_FACT]]</f>
        <v>0</v>
      </c>
      <c r="BG20" s="1">
        <f>tPanel_Export[[#This Row],[RAMK_PENET_RUB]]*tPanel_Export[[#This Row],[TOTAL_SUM_FACT]]</f>
        <v>0</v>
      </c>
      <c r="BH20" s="1">
        <f>tPanel_Export[[#This Row],[AVL_PENET_SHT]]*tPanel_Export[[#This Row],[TOTAL_COUNT_FACT]]</f>
        <v>0</v>
      </c>
      <c r="BI20" s="1">
        <f>tPanel_Export[[#This Row],[AVL_PENET_RUB]]*tPanel_Export[[#This Row],[TOTAL_SUM_FACT]]</f>
        <v>0</v>
      </c>
      <c r="BJ20" s="1">
        <f>1</f>
        <v>1</v>
      </c>
      <c r="BK20" s="32">
        <f>IFERROR(IF(VLOOKUP(tPanel_Export[[#This Row],[DATE_TO]],Extra2!A:C,3,0)="месяц закрыт",1,$BR$1),1)</f>
        <v>1</v>
      </c>
      <c r="BL20" s="1" t="str">
        <f>VLOOKUP(tPanel_Export[[#This Row],[MAK]],Curators!A:B,2,0)</f>
        <v>Кабдулин</v>
      </c>
    </row>
    <row r="21" spans="1:64" x14ac:dyDescent="0.25">
      <c r="A21" s="5">
        <v>42005</v>
      </c>
      <c r="B21" s="5">
        <v>42369</v>
      </c>
      <c r="C21" t="s">
        <v>17</v>
      </c>
      <c r="E21">
        <v>986</v>
      </c>
      <c r="H21" s="1">
        <v>585307823.76999998</v>
      </c>
      <c r="J21" s="1">
        <v>593618.48252535495</v>
      </c>
      <c r="L21">
        <v>727</v>
      </c>
      <c r="O21">
        <v>166</v>
      </c>
      <c r="R21">
        <v>12</v>
      </c>
      <c r="U21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0.78397600000000001</v>
      </c>
      <c r="AB21" s="3">
        <v>0.72658699999999998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17">
        <v>17.1233383</v>
      </c>
      <c r="AJ21" s="17">
        <v>44.09</v>
      </c>
      <c r="AL21" s="17">
        <v>81</v>
      </c>
      <c r="AM21">
        <v>0.37569999999999998</v>
      </c>
      <c r="AN21" s="10">
        <v>827302872.48000002</v>
      </c>
      <c r="AO21" s="30">
        <f>tPanel_Export[[#This Row],[ASP_D_COUNT_PLAN]]+tPanel_Export[[#This Row],[C2C_COUNT_PLAN]]</f>
        <v>0</v>
      </c>
      <c r="AP21" s="30">
        <f>tPanel_Export[[#This Row],[ASP_D_COUNT_FACT]]+tPanel_Export[[#This Row],[C2C_COUNT_FACT]]</f>
        <v>12</v>
      </c>
      <c r="AQ21" s="1">
        <f>tPanel_Export[[#This Row],[MEDIUM_CHECK]]*tPanel_Export[[#This Row],[TOTAL_COUNT_FACT]]</f>
        <v>585307823.76999998</v>
      </c>
      <c r="AR21" s="10">
        <f>YEAR(tPanel_Export[[#This Row],[DATE_TO]])</f>
        <v>2015</v>
      </c>
      <c r="AS21" s="1">
        <f>MONTH(tPanel_Export[[#This Row],[DATE_TO]])</f>
        <v>12</v>
      </c>
      <c r="AT21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1" s="1">
        <f>tPanel_Export[[#This Row],[STAVKAGP]]*tPanel_Export[[#This Row],[TOTAL_SUM_FACT]]</f>
        <v>10022423876.050491</v>
      </c>
      <c r="AV21" s="1">
        <f>tPanel_Export[[#This Row],[SROKKRED]]*tPanel_Export[[#This Row],[TOTAL_SUM_FACT]]</f>
        <v>25806221950.019302</v>
      </c>
      <c r="AW21" s="1">
        <f>tPanel_Export[[#This Row],[SV_PV]]*tPanel_Export[[#This Row],[VEHICLE_COST_RUR_AMT]]</f>
        <v>310817689.190736</v>
      </c>
      <c r="AX21" s="1">
        <f>tPanel_Export[[#This Row],[VKASKO_PENET_SHT]]*tPanel_Export[[#This Row],[TOTAL_COUNT_FACT]]</f>
        <v>0</v>
      </c>
      <c r="AY21" s="1">
        <f>tPanel_Export[[#This Row],[VKASKO_PENET_RUB]]*tPanel_Export[[#This Row],[TOTAL_SUM_FACT]]</f>
        <v>0</v>
      </c>
      <c r="AZ21" s="1">
        <f>tPanel_Export[[#This Row],[MKASKO_PENET_SHT]]*tPanel_Export[[#This Row],[TOTAL_COUNT_FACT]]</f>
        <v>0</v>
      </c>
      <c r="BA21" s="1">
        <f>tPanel_Export[[#This Row],[MKASKO_PENET_RUB]]*tPanel_Export[[#This Row],[TOTAL_SUM_FACT]]</f>
        <v>0</v>
      </c>
      <c r="BB21" s="1">
        <f>tPanel_Export[[#This Row],[SJ_PENET_SHT]]*tPanel_Export[[#This Row],[TOTAL_COUNT_FACT]]</f>
        <v>773.00033600000006</v>
      </c>
      <c r="BC21" s="1">
        <f>tPanel_Export[[#This Row],[SJ_PENET_RUB]]*tPanel_Export[[#This Row],[TOTAL_SUM_FACT]]</f>
        <v>425277055.74957299</v>
      </c>
      <c r="BD21" s="1">
        <f>tPanel_Export[[#This Row],[DKASKO_PENET_SHT]]*tPanel_Export[[#This Row],[TOTAL_COUNT_FACT]]</f>
        <v>0</v>
      </c>
      <c r="BE21" s="1">
        <f>tPanel_Export[[#This Row],[DKASKO_PENET_RUB]]*tPanel_Export[[#This Row],[TOTAL_SUM_FACT]]</f>
        <v>0</v>
      </c>
      <c r="BF21" s="1">
        <f>tPanel_Export[[#This Row],[RAMK_PENET_SHT]]*tPanel_Export[[#This Row],[TOTAL_COUNT_FACT]]</f>
        <v>0</v>
      </c>
      <c r="BG21" s="1">
        <f>tPanel_Export[[#This Row],[RAMK_PENET_RUB]]*tPanel_Export[[#This Row],[TOTAL_SUM_FACT]]</f>
        <v>0</v>
      </c>
      <c r="BH21" s="1">
        <f>tPanel_Export[[#This Row],[AVL_PENET_SHT]]*tPanel_Export[[#This Row],[TOTAL_COUNT_FACT]]</f>
        <v>0</v>
      </c>
      <c r="BI21" s="1">
        <f>tPanel_Export[[#This Row],[AVL_PENET_RUB]]*tPanel_Export[[#This Row],[TOTAL_SUM_FACT]]</f>
        <v>0</v>
      </c>
      <c r="BJ21" s="1">
        <f>1</f>
        <v>1</v>
      </c>
      <c r="BK21" s="32">
        <f>IFERROR(IF(VLOOKUP(tPanel_Export[[#This Row],[DATE_TO]],Extra2!A:C,3,0)="месяц закрыт",1,$BR$1),1)</f>
        <v>1</v>
      </c>
      <c r="BL21" s="1" t="str">
        <f>VLOOKUP(tPanel_Export[[#This Row],[MAK]],Curators!A:B,2,0)</f>
        <v>Иванов</v>
      </c>
    </row>
    <row r="22" spans="1:64" x14ac:dyDescent="0.25">
      <c r="A22" s="5">
        <v>42005</v>
      </c>
      <c r="B22" s="5">
        <v>42369</v>
      </c>
      <c r="C22" t="s">
        <v>9</v>
      </c>
      <c r="E22">
        <v>500</v>
      </c>
      <c r="H22" s="1">
        <v>190773695.02000001</v>
      </c>
      <c r="J22" s="1">
        <v>381547.39004000003</v>
      </c>
      <c r="L22">
        <v>335</v>
      </c>
      <c r="O22">
        <v>111</v>
      </c>
      <c r="R22">
        <v>9</v>
      </c>
      <c r="U22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0.74</v>
      </c>
      <c r="AB22" s="3">
        <v>0.61488799999999999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17">
        <v>18.995056600000002</v>
      </c>
      <c r="AJ22" s="17">
        <v>42.55</v>
      </c>
      <c r="AL22" s="17">
        <v>45</v>
      </c>
      <c r="AM22">
        <v>0.42049999999999998</v>
      </c>
      <c r="AN22" s="10">
        <v>291610112.69</v>
      </c>
      <c r="AO22" s="30">
        <f>tPanel_Export[[#This Row],[ASP_D_COUNT_PLAN]]+tPanel_Export[[#This Row],[C2C_COUNT_PLAN]]</f>
        <v>0</v>
      </c>
      <c r="AP22" s="30">
        <f>tPanel_Export[[#This Row],[ASP_D_COUNT_FACT]]+tPanel_Export[[#This Row],[C2C_COUNT_FACT]]</f>
        <v>9</v>
      </c>
      <c r="AQ22" s="1">
        <f>tPanel_Export[[#This Row],[MEDIUM_CHECK]]*tPanel_Export[[#This Row],[TOTAL_COUNT_FACT]]</f>
        <v>190773695.02000001</v>
      </c>
      <c r="AR22" s="10">
        <f>YEAR(tPanel_Export[[#This Row],[DATE_TO]])</f>
        <v>2015</v>
      </c>
      <c r="AS22" s="1">
        <f>MONTH(tPanel_Export[[#This Row],[DATE_TO]])</f>
        <v>12</v>
      </c>
      <c r="AT2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2" s="1">
        <f>tPanel_Export[[#This Row],[STAVKAGP]]*tPanel_Export[[#This Row],[TOTAL_SUM_FACT]]</f>
        <v>3623757134.6960387</v>
      </c>
      <c r="AV22" s="1">
        <f>tPanel_Export[[#This Row],[SROKKRED]]*tPanel_Export[[#This Row],[TOTAL_SUM_FACT]]</f>
        <v>8117420723.1009998</v>
      </c>
      <c r="AW22" s="1">
        <f>tPanel_Export[[#This Row],[SV_PV]]*tPanel_Export[[#This Row],[VEHICLE_COST_RUR_AMT]]</f>
        <v>122622052.386145</v>
      </c>
      <c r="AX22" s="1">
        <f>tPanel_Export[[#This Row],[VKASKO_PENET_SHT]]*tPanel_Export[[#This Row],[TOTAL_COUNT_FACT]]</f>
        <v>0</v>
      </c>
      <c r="AY22" s="1">
        <f>tPanel_Export[[#This Row],[VKASKO_PENET_RUB]]*tPanel_Export[[#This Row],[TOTAL_SUM_FACT]]</f>
        <v>0</v>
      </c>
      <c r="AZ22" s="1">
        <f>tPanel_Export[[#This Row],[MKASKO_PENET_SHT]]*tPanel_Export[[#This Row],[TOTAL_COUNT_FACT]]</f>
        <v>0</v>
      </c>
      <c r="BA22" s="1">
        <f>tPanel_Export[[#This Row],[MKASKO_PENET_RUB]]*tPanel_Export[[#This Row],[TOTAL_SUM_FACT]]</f>
        <v>0</v>
      </c>
      <c r="BB22" s="1">
        <f>tPanel_Export[[#This Row],[SJ_PENET_SHT]]*tPanel_Export[[#This Row],[TOTAL_COUNT_FACT]]</f>
        <v>370</v>
      </c>
      <c r="BC22" s="1">
        <f>tPanel_Export[[#This Row],[SJ_PENET_RUB]]*tPanel_Export[[#This Row],[TOTAL_SUM_FACT]]</f>
        <v>117304455.78345777</v>
      </c>
      <c r="BD22" s="1">
        <f>tPanel_Export[[#This Row],[DKASKO_PENET_SHT]]*tPanel_Export[[#This Row],[TOTAL_COUNT_FACT]]</f>
        <v>0</v>
      </c>
      <c r="BE22" s="1">
        <f>tPanel_Export[[#This Row],[DKASKO_PENET_RUB]]*tPanel_Export[[#This Row],[TOTAL_SUM_FACT]]</f>
        <v>0</v>
      </c>
      <c r="BF22" s="1">
        <f>tPanel_Export[[#This Row],[RAMK_PENET_SHT]]*tPanel_Export[[#This Row],[TOTAL_COUNT_FACT]]</f>
        <v>0</v>
      </c>
      <c r="BG22" s="1">
        <f>tPanel_Export[[#This Row],[RAMK_PENET_RUB]]*tPanel_Export[[#This Row],[TOTAL_SUM_FACT]]</f>
        <v>0</v>
      </c>
      <c r="BH22" s="1">
        <f>tPanel_Export[[#This Row],[AVL_PENET_SHT]]*tPanel_Export[[#This Row],[TOTAL_COUNT_FACT]]</f>
        <v>0</v>
      </c>
      <c r="BI22" s="1">
        <f>tPanel_Export[[#This Row],[AVL_PENET_RUB]]*tPanel_Export[[#This Row],[TOTAL_SUM_FACT]]</f>
        <v>0</v>
      </c>
      <c r="BJ22" s="1">
        <f>1</f>
        <v>1</v>
      </c>
      <c r="BK22" s="32">
        <f>IFERROR(IF(VLOOKUP(tPanel_Export[[#This Row],[DATE_TO]],Extra2!A:C,3,0)="месяц закрыт",1,$BR$1),1)</f>
        <v>1</v>
      </c>
      <c r="BL22" s="1" t="str">
        <f>VLOOKUP(tPanel_Export[[#This Row],[MAK]],Curators!A:B,2,0)</f>
        <v>Кабдулин</v>
      </c>
    </row>
    <row r="23" spans="1:64" x14ac:dyDescent="0.25">
      <c r="A23" s="5">
        <v>42005</v>
      </c>
      <c r="B23" s="5">
        <v>42369</v>
      </c>
      <c r="C23" t="s">
        <v>47</v>
      </c>
      <c r="E23">
        <v>1611</v>
      </c>
      <c r="H23" s="1">
        <v>788788909.35000002</v>
      </c>
      <c r="J23" s="1">
        <v>489626.883519553</v>
      </c>
      <c r="L23">
        <v>1072</v>
      </c>
      <c r="O23">
        <v>304</v>
      </c>
      <c r="R23">
        <v>36</v>
      </c>
      <c r="U2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0.72501599999999999</v>
      </c>
      <c r="AB23" s="3">
        <v>0.666211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17">
        <v>17.930824399999999</v>
      </c>
      <c r="AJ23" s="17">
        <v>44.96</v>
      </c>
      <c r="AL23" s="17">
        <v>199</v>
      </c>
      <c r="AM23">
        <v>0.40029999999999999</v>
      </c>
      <c r="AN23" s="10">
        <v>1173881616.3099999</v>
      </c>
      <c r="AO23" s="30">
        <f>tPanel_Export[[#This Row],[ASP_D_COUNT_PLAN]]+tPanel_Export[[#This Row],[C2C_COUNT_PLAN]]</f>
        <v>0</v>
      </c>
      <c r="AP23" s="30">
        <f>tPanel_Export[[#This Row],[ASP_D_COUNT_FACT]]+tPanel_Export[[#This Row],[C2C_COUNT_FACT]]</f>
        <v>36</v>
      </c>
      <c r="AQ23" s="1">
        <f>tPanel_Export[[#This Row],[MEDIUM_CHECK]]*tPanel_Export[[#This Row],[TOTAL_COUNT_FACT]]</f>
        <v>788788909.3499999</v>
      </c>
      <c r="AR23" s="10">
        <f>YEAR(tPanel_Export[[#This Row],[DATE_TO]])</f>
        <v>2015</v>
      </c>
      <c r="AS23" s="1">
        <f>MONTH(tPanel_Export[[#This Row],[DATE_TO]])</f>
        <v>12</v>
      </c>
      <c r="AT2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3" s="1">
        <f>tPanel_Export[[#This Row],[STAVKAGP]]*tPanel_Export[[#This Row],[TOTAL_SUM_FACT]]</f>
        <v>14143635422.222368</v>
      </c>
      <c r="AV23" s="1">
        <f>tPanel_Export[[#This Row],[SROKKRED]]*tPanel_Export[[#This Row],[TOTAL_SUM_FACT]]</f>
        <v>35463949364.375999</v>
      </c>
      <c r="AW23" s="1">
        <f>tPanel_Export[[#This Row],[SV_PV]]*tPanel_Export[[#This Row],[VEHICLE_COST_RUR_AMT]]</f>
        <v>469904811.00889295</v>
      </c>
      <c r="AX23" s="1">
        <f>tPanel_Export[[#This Row],[VKASKO_PENET_SHT]]*tPanel_Export[[#This Row],[TOTAL_COUNT_FACT]]</f>
        <v>0</v>
      </c>
      <c r="AY23" s="1">
        <f>tPanel_Export[[#This Row],[VKASKO_PENET_RUB]]*tPanel_Export[[#This Row],[TOTAL_SUM_FACT]]</f>
        <v>0</v>
      </c>
      <c r="AZ23" s="1">
        <f>tPanel_Export[[#This Row],[MKASKO_PENET_SHT]]*tPanel_Export[[#This Row],[TOTAL_COUNT_FACT]]</f>
        <v>0</v>
      </c>
      <c r="BA23" s="1">
        <f>tPanel_Export[[#This Row],[MKASKO_PENET_RUB]]*tPanel_Export[[#This Row],[TOTAL_SUM_FACT]]</f>
        <v>0</v>
      </c>
      <c r="BB23" s="1">
        <f>tPanel_Export[[#This Row],[SJ_PENET_SHT]]*tPanel_Export[[#This Row],[TOTAL_COUNT_FACT]]</f>
        <v>1168.0007760000001</v>
      </c>
      <c r="BC23" s="1">
        <f>tPanel_Export[[#This Row],[SJ_PENET_RUB]]*tPanel_Export[[#This Row],[TOTAL_SUM_FACT]]</f>
        <v>525499848.08697289</v>
      </c>
      <c r="BD23" s="1">
        <f>tPanel_Export[[#This Row],[DKASKO_PENET_SHT]]*tPanel_Export[[#This Row],[TOTAL_COUNT_FACT]]</f>
        <v>0</v>
      </c>
      <c r="BE23" s="1">
        <f>tPanel_Export[[#This Row],[DKASKO_PENET_RUB]]*tPanel_Export[[#This Row],[TOTAL_SUM_FACT]]</f>
        <v>0</v>
      </c>
      <c r="BF23" s="1">
        <f>tPanel_Export[[#This Row],[RAMK_PENET_SHT]]*tPanel_Export[[#This Row],[TOTAL_COUNT_FACT]]</f>
        <v>0</v>
      </c>
      <c r="BG23" s="1">
        <f>tPanel_Export[[#This Row],[RAMK_PENET_RUB]]*tPanel_Export[[#This Row],[TOTAL_SUM_FACT]]</f>
        <v>0</v>
      </c>
      <c r="BH23" s="1">
        <f>tPanel_Export[[#This Row],[AVL_PENET_SHT]]*tPanel_Export[[#This Row],[TOTAL_COUNT_FACT]]</f>
        <v>0</v>
      </c>
      <c r="BI23" s="1">
        <f>tPanel_Export[[#This Row],[AVL_PENET_RUB]]*tPanel_Export[[#This Row],[TOTAL_SUM_FACT]]</f>
        <v>0</v>
      </c>
      <c r="BJ23" s="1">
        <f>1</f>
        <v>1</v>
      </c>
      <c r="BK23" s="32">
        <f>IFERROR(IF(VLOOKUP(tPanel_Export[[#This Row],[DATE_TO]],Extra2!A:C,3,0)="месяц закрыт",1,$BR$1),1)</f>
        <v>1</v>
      </c>
      <c r="BL23" s="1" t="str">
        <f>VLOOKUP(tPanel_Export[[#This Row],[MAK]],Curators!A:B,2,0)</f>
        <v>Иванов</v>
      </c>
    </row>
    <row r="24" spans="1:64" x14ac:dyDescent="0.25">
      <c r="A24" s="5">
        <v>42005</v>
      </c>
      <c r="B24" s="5">
        <v>42369</v>
      </c>
      <c r="C24" t="s">
        <v>31</v>
      </c>
      <c r="E24">
        <v>1075</v>
      </c>
      <c r="H24" s="1">
        <v>529897638.69</v>
      </c>
      <c r="J24" s="1">
        <v>492928.03599069797</v>
      </c>
      <c r="L24">
        <v>814</v>
      </c>
      <c r="O24">
        <v>194</v>
      </c>
      <c r="R24">
        <v>9</v>
      </c>
      <c r="U24">
        <v>0</v>
      </c>
      <c r="V24" s="3">
        <v>0</v>
      </c>
      <c r="W24" s="3">
        <v>2.1631999999999998E-2</v>
      </c>
      <c r="X24" s="3">
        <v>1.8942000000000001E-2</v>
      </c>
      <c r="Y24" s="3">
        <v>0</v>
      </c>
      <c r="Z24" s="3">
        <v>0</v>
      </c>
      <c r="AA24" s="3">
        <v>0.79813999999999996</v>
      </c>
      <c r="AB24" s="3">
        <v>0.72524900000000003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17">
        <v>17.3661447</v>
      </c>
      <c r="AJ24" s="17">
        <v>42.48</v>
      </c>
      <c r="AL24" s="17">
        <v>58</v>
      </c>
      <c r="AM24">
        <v>0.42449999999999999</v>
      </c>
      <c r="AN24" s="10">
        <v>810522522.79999995</v>
      </c>
      <c r="AO24" s="30">
        <f>tPanel_Export[[#This Row],[ASP_D_COUNT_PLAN]]+tPanel_Export[[#This Row],[C2C_COUNT_PLAN]]</f>
        <v>0</v>
      </c>
      <c r="AP24" s="30">
        <f>tPanel_Export[[#This Row],[ASP_D_COUNT_FACT]]+tPanel_Export[[#This Row],[C2C_COUNT_FACT]]</f>
        <v>9</v>
      </c>
      <c r="AQ24" s="1">
        <f>tPanel_Export[[#This Row],[MEDIUM_CHECK]]*tPanel_Export[[#This Row],[TOTAL_COUNT_FACT]]</f>
        <v>529897638.6900003</v>
      </c>
      <c r="AR24" s="10">
        <f>YEAR(tPanel_Export[[#This Row],[DATE_TO]])</f>
        <v>2015</v>
      </c>
      <c r="AS24" s="1">
        <f>MONTH(tPanel_Export[[#This Row],[DATE_TO]])</f>
        <v>12</v>
      </c>
      <c r="AT2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4" s="1">
        <f>tPanel_Export[[#This Row],[STAVKAGP]]*tPanel_Export[[#This Row],[TOTAL_SUM_FACT]]</f>
        <v>9202279069.6788578</v>
      </c>
      <c r="AV24" s="1">
        <f>tPanel_Export[[#This Row],[SROKKRED]]*tPanel_Export[[#This Row],[TOTAL_SUM_FACT]]</f>
        <v>22510051691.551197</v>
      </c>
      <c r="AW24" s="1">
        <f>tPanel_Export[[#This Row],[SV_PV]]*tPanel_Export[[#This Row],[VEHICLE_COST_RUR_AMT]]</f>
        <v>344066810.92859995</v>
      </c>
      <c r="AX24" s="1">
        <f>tPanel_Export[[#This Row],[VKASKO_PENET_SHT]]*tPanel_Export[[#This Row],[TOTAL_COUNT_FACT]]</f>
        <v>23.254399999999997</v>
      </c>
      <c r="AY24" s="1">
        <f>tPanel_Export[[#This Row],[VKASKO_PENET_RUB]]*tPanel_Export[[#This Row],[TOTAL_SUM_FACT]]</f>
        <v>10037321.072065981</v>
      </c>
      <c r="AZ24" s="1">
        <f>tPanel_Export[[#This Row],[MKASKO_PENET_SHT]]*tPanel_Export[[#This Row],[TOTAL_COUNT_FACT]]</f>
        <v>0</v>
      </c>
      <c r="BA24" s="1">
        <f>tPanel_Export[[#This Row],[MKASKO_PENET_RUB]]*tPanel_Export[[#This Row],[TOTAL_SUM_FACT]]</f>
        <v>0</v>
      </c>
      <c r="BB24" s="1">
        <f>tPanel_Export[[#This Row],[SJ_PENET_SHT]]*tPanel_Export[[#This Row],[TOTAL_COUNT_FACT]]</f>
        <v>858.00049999999999</v>
      </c>
      <c r="BC24" s="1">
        <f>tPanel_Export[[#This Row],[SJ_PENET_RUB]]*tPanel_Export[[#This Row],[TOTAL_SUM_FACT]]</f>
        <v>384307732.56228381</v>
      </c>
      <c r="BD24" s="1">
        <f>tPanel_Export[[#This Row],[DKASKO_PENET_SHT]]*tPanel_Export[[#This Row],[TOTAL_COUNT_FACT]]</f>
        <v>0</v>
      </c>
      <c r="BE24" s="1">
        <f>tPanel_Export[[#This Row],[DKASKO_PENET_RUB]]*tPanel_Export[[#This Row],[TOTAL_SUM_FACT]]</f>
        <v>0</v>
      </c>
      <c r="BF24" s="1">
        <f>tPanel_Export[[#This Row],[RAMK_PENET_SHT]]*tPanel_Export[[#This Row],[TOTAL_COUNT_FACT]]</f>
        <v>0</v>
      </c>
      <c r="BG24" s="1">
        <f>tPanel_Export[[#This Row],[RAMK_PENET_RUB]]*tPanel_Export[[#This Row],[TOTAL_SUM_FACT]]</f>
        <v>0</v>
      </c>
      <c r="BH24" s="1">
        <f>tPanel_Export[[#This Row],[AVL_PENET_SHT]]*tPanel_Export[[#This Row],[TOTAL_COUNT_FACT]]</f>
        <v>0</v>
      </c>
      <c r="BI24" s="1">
        <f>tPanel_Export[[#This Row],[AVL_PENET_RUB]]*tPanel_Export[[#This Row],[TOTAL_SUM_FACT]]</f>
        <v>0</v>
      </c>
      <c r="BJ24" s="1">
        <f>1</f>
        <v>1</v>
      </c>
      <c r="BK24" s="32">
        <f>IFERROR(IF(VLOOKUP(tPanel_Export[[#This Row],[DATE_TO]],Extra2!A:C,3,0)="месяц закрыт",1,$BR$1),1)</f>
        <v>1</v>
      </c>
      <c r="BL24" s="1" t="str">
        <f>VLOOKUP(tPanel_Export[[#This Row],[MAK]],Curators!A:B,2,0)</f>
        <v>Иванов</v>
      </c>
    </row>
    <row r="25" spans="1:64" x14ac:dyDescent="0.25">
      <c r="A25" s="5">
        <v>42005</v>
      </c>
      <c r="B25" s="5">
        <v>42369</v>
      </c>
      <c r="C25" t="s">
        <v>49</v>
      </c>
      <c r="E25">
        <v>505</v>
      </c>
      <c r="H25" s="1">
        <v>207992118.86000001</v>
      </c>
      <c r="J25" s="1">
        <v>411865.58190098999</v>
      </c>
      <c r="L25">
        <v>419</v>
      </c>
      <c r="O25">
        <v>36</v>
      </c>
      <c r="R25">
        <v>22</v>
      </c>
      <c r="U25">
        <v>0</v>
      </c>
      <c r="V25" s="3">
        <v>0</v>
      </c>
      <c r="W25" s="3">
        <v>0.111111</v>
      </c>
      <c r="X25" s="3">
        <v>0.111979</v>
      </c>
      <c r="Y25" s="3">
        <v>0</v>
      </c>
      <c r="Z25" s="3">
        <v>0</v>
      </c>
      <c r="AA25" s="3">
        <v>0.79603999999999997</v>
      </c>
      <c r="AB25" s="3">
        <v>0.73629900000000004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17">
        <v>17.6553687</v>
      </c>
      <c r="AJ25" s="17">
        <v>42.07</v>
      </c>
      <c r="AL25" s="17">
        <v>28</v>
      </c>
      <c r="AM25">
        <v>0.43669999999999998</v>
      </c>
      <c r="AN25" s="10">
        <v>329623048.02999997</v>
      </c>
      <c r="AO25" s="30">
        <f>tPanel_Export[[#This Row],[ASP_D_COUNT_PLAN]]+tPanel_Export[[#This Row],[C2C_COUNT_PLAN]]</f>
        <v>0</v>
      </c>
      <c r="AP25" s="30">
        <f>tPanel_Export[[#This Row],[ASP_D_COUNT_FACT]]+tPanel_Export[[#This Row],[C2C_COUNT_FACT]]</f>
        <v>22</v>
      </c>
      <c r="AQ25" s="1">
        <f>tPanel_Export[[#This Row],[MEDIUM_CHECK]]*tPanel_Export[[#This Row],[TOTAL_COUNT_FACT]]</f>
        <v>207992118.85999995</v>
      </c>
      <c r="AR25" s="10">
        <f>YEAR(tPanel_Export[[#This Row],[DATE_TO]])</f>
        <v>2015</v>
      </c>
      <c r="AS25" s="1">
        <f>MONTH(tPanel_Export[[#This Row],[DATE_TO]])</f>
        <v>12</v>
      </c>
      <c r="AT2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5" s="1">
        <f>tPanel_Export[[#This Row],[STAVKAGP]]*tPanel_Export[[#This Row],[TOTAL_SUM_FACT]]</f>
        <v>3672177545.1675239</v>
      </c>
      <c r="AV25" s="1">
        <f>tPanel_Export[[#This Row],[SROKKRED]]*tPanel_Export[[#This Row],[TOTAL_SUM_FACT]]</f>
        <v>8750228440.4402008</v>
      </c>
      <c r="AW25" s="1">
        <f>tPanel_Export[[#This Row],[SV_PV]]*tPanel_Export[[#This Row],[VEHICLE_COST_RUR_AMT]]</f>
        <v>143946385.07470098</v>
      </c>
      <c r="AX25" s="1">
        <f>tPanel_Export[[#This Row],[VKASKO_PENET_SHT]]*tPanel_Export[[#This Row],[TOTAL_COUNT_FACT]]</f>
        <v>56.111055</v>
      </c>
      <c r="AY25" s="1">
        <f>tPanel_Export[[#This Row],[VKASKO_PENET_RUB]]*tPanel_Export[[#This Row],[TOTAL_SUM_FACT]]</f>
        <v>23290749.477823939</v>
      </c>
      <c r="AZ25" s="1">
        <f>tPanel_Export[[#This Row],[MKASKO_PENET_SHT]]*tPanel_Export[[#This Row],[TOTAL_COUNT_FACT]]</f>
        <v>0</v>
      </c>
      <c r="BA25" s="1">
        <f>tPanel_Export[[#This Row],[MKASKO_PENET_RUB]]*tPanel_Export[[#This Row],[TOTAL_SUM_FACT]]</f>
        <v>0</v>
      </c>
      <c r="BB25" s="1">
        <f>tPanel_Export[[#This Row],[SJ_PENET_SHT]]*tPanel_Export[[#This Row],[TOTAL_COUNT_FACT]]</f>
        <v>402.00020000000001</v>
      </c>
      <c r="BC25" s="1">
        <f>tPanel_Export[[#This Row],[SJ_PENET_RUB]]*tPanel_Export[[#This Row],[TOTAL_SUM_FACT]]</f>
        <v>153144389.12449917</v>
      </c>
      <c r="BD25" s="1">
        <f>tPanel_Export[[#This Row],[DKASKO_PENET_SHT]]*tPanel_Export[[#This Row],[TOTAL_COUNT_FACT]]</f>
        <v>0</v>
      </c>
      <c r="BE25" s="1">
        <f>tPanel_Export[[#This Row],[DKASKO_PENET_RUB]]*tPanel_Export[[#This Row],[TOTAL_SUM_FACT]]</f>
        <v>0</v>
      </c>
      <c r="BF25" s="1">
        <f>tPanel_Export[[#This Row],[RAMK_PENET_SHT]]*tPanel_Export[[#This Row],[TOTAL_COUNT_FACT]]</f>
        <v>0</v>
      </c>
      <c r="BG25" s="1">
        <f>tPanel_Export[[#This Row],[RAMK_PENET_RUB]]*tPanel_Export[[#This Row],[TOTAL_SUM_FACT]]</f>
        <v>0</v>
      </c>
      <c r="BH25" s="1">
        <f>tPanel_Export[[#This Row],[AVL_PENET_SHT]]*tPanel_Export[[#This Row],[TOTAL_COUNT_FACT]]</f>
        <v>0</v>
      </c>
      <c r="BI25" s="1">
        <f>tPanel_Export[[#This Row],[AVL_PENET_RUB]]*tPanel_Export[[#This Row],[TOTAL_SUM_FACT]]</f>
        <v>0</v>
      </c>
      <c r="BJ25" s="1">
        <f>1</f>
        <v>1</v>
      </c>
      <c r="BK25" s="32">
        <f>IFERROR(IF(VLOOKUP(tPanel_Export[[#This Row],[DATE_TO]],Extra2!A:C,3,0)="месяц закрыт",1,$BR$1),1)</f>
        <v>1</v>
      </c>
      <c r="BL25" s="1" t="str">
        <f>VLOOKUP(tPanel_Export[[#This Row],[MAK]],Curators!A:B,2,0)</f>
        <v>Кабдулин</v>
      </c>
    </row>
    <row r="26" spans="1:64" x14ac:dyDescent="0.25">
      <c r="A26" s="5">
        <v>42005</v>
      </c>
      <c r="B26" s="5">
        <v>42369</v>
      </c>
      <c r="C26" t="s">
        <v>16</v>
      </c>
      <c r="E26">
        <v>587</v>
      </c>
      <c r="H26" s="1">
        <v>211460002.91</v>
      </c>
      <c r="J26" s="1">
        <v>360238.50580919901</v>
      </c>
      <c r="L26">
        <v>434</v>
      </c>
      <c r="O26">
        <v>57</v>
      </c>
      <c r="R26">
        <v>9</v>
      </c>
      <c r="U26">
        <v>0</v>
      </c>
      <c r="V26" s="3">
        <v>0</v>
      </c>
      <c r="W26" s="3">
        <v>0.08</v>
      </c>
      <c r="X26" s="3">
        <v>8.5056000000000007E-2</v>
      </c>
      <c r="Y26" s="3">
        <v>0</v>
      </c>
      <c r="Z26" s="3">
        <v>0</v>
      </c>
      <c r="AA26" s="3">
        <v>0.70357800000000004</v>
      </c>
      <c r="AB26" s="3">
        <v>0.58704400000000001</v>
      </c>
      <c r="AC26" s="3">
        <v>2E-3</v>
      </c>
      <c r="AD26" s="3">
        <v>8.7500000000000002E-4</v>
      </c>
      <c r="AE26" s="3">
        <v>0</v>
      </c>
      <c r="AF26" s="3">
        <v>0</v>
      </c>
      <c r="AG26" s="3">
        <v>0</v>
      </c>
      <c r="AH26" s="3">
        <v>0</v>
      </c>
      <c r="AI26" s="17">
        <v>18.8388186</v>
      </c>
      <c r="AJ26" s="17">
        <v>39.64</v>
      </c>
      <c r="AL26" s="17">
        <v>87</v>
      </c>
      <c r="AM26">
        <v>0.39960000000000001</v>
      </c>
      <c r="AN26" s="10">
        <v>323584495.55000001</v>
      </c>
      <c r="AO26" s="30">
        <f>tPanel_Export[[#This Row],[ASP_D_COUNT_PLAN]]+tPanel_Export[[#This Row],[C2C_COUNT_PLAN]]</f>
        <v>0</v>
      </c>
      <c r="AP26" s="30">
        <f>tPanel_Export[[#This Row],[ASP_D_COUNT_FACT]]+tPanel_Export[[#This Row],[C2C_COUNT_FACT]]</f>
        <v>9</v>
      </c>
      <c r="AQ26" s="1">
        <f>tPanel_Export[[#This Row],[MEDIUM_CHECK]]*tPanel_Export[[#This Row],[TOTAL_COUNT_FACT]]</f>
        <v>211460002.90999982</v>
      </c>
      <c r="AR26" s="10">
        <f>YEAR(tPanel_Export[[#This Row],[DATE_TO]])</f>
        <v>2015</v>
      </c>
      <c r="AS26" s="1">
        <f>MONTH(tPanel_Export[[#This Row],[DATE_TO]])</f>
        <v>12</v>
      </c>
      <c r="AT26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6" s="1">
        <f>tPanel_Export[[#This Row],[STAVKAGP]]*tPanel_Export[[#This Row],[TOTAL_SUM_FACT]]</f>
        <v>3983656635.9769621</v>
      </c>
      <c r="AV26" s="1">
        <f>tPanel_Export[[#This Row],[SROKKRED]]*tPanel_Export[[#This Row],[TOTAL_SUM_FACT]]</f>
        <v>8382274515.3523998</v>
      </c>
      <c r="AW26" s="1">
        <f>tPanel_Export[[#This Row],[SV_PV]]*tPanel_Export[[#This Row],[VEHICLE_COST_RUR_AMT]]</f>
        <v>129304364.42178001</v>
      </c>
      <c r="AX26" s="1">
        <f>tPanel_Export[[#This Row],[VKASKO_PENET_SHT]]*tPanel_Export[[#This Row],[TOTAL_COUNT_FACT]]</f>
        <v>46.96</v>
      </c>
      <c r="AY26" s="1">
        <f>tPanel_Export[[#This Row],[VKASKO_PENET_RUB]]*tPanel_Export[[#This Row],[TOTAL_SUM_FACT]]</f>
        <v>17985942.007512961</v>
      </c>
      <c r="AZ26" s="1">
        <f>tPanel_Export[[#This Row],[MKASKO_PENET_SHT]]*tPanel_Export[[#This Row],[TOTAL_COUNT_FACT]]</f>
        <v>0</v>
      </c>
      <c r="BA26" s="1">
        <f>tPanel_Export[[#This Row],[MKASKO_PENET_RUB]]*tPanel_Export[[#This Row],[TOTAL_SUM_FACT]]</f>
        <v>0</v>
      </c>
      <c r="BB26" s="1">
        <f>tPanel_Export[[#This Row],[SJ_PENET_SHT]]*tPanel_Export[[#This Row],[TOTAL_COUNT_FACT]]</f>
        <v>413.00028600000002</v>
      </c>
      <c r="BC26" s="1">
        <f>tPanel_Export[[#This Row],[SJ_PENET_RUB]]*tPanel_Export[[#This Row],[TOTAL_SUM_FACT]]</f>
        <v>124136325.94829804</v>
      </c>
      <c r="BD26" s="1">
        <f>tPanel_Export[[#This Row],[DKASKO_PENET_SHT]]*tPanel_Export[[#This Row],[TOTAL_COUNT_FACT]]</f>
        <v>1.1739999999999999</v>
      </c>
      <c r="BE26" s="1">
        <f>tPanel_Export[[#This Row],[DKASKO_PENET_RUB]]*tPanel_Export[[#This Row],[TOTAL_SUM_FACT]]</f>
        <v>185027.50254625001</v>
      </c>
      <c r="BF26" s="1">
        <f>tPanel_Export[[#This Row],[RAMK_PENET_SHT]]*tPanel_Export[[#This Row],[TOTAL_COUNT_FACT]]</f>
        <v>0</v>
      </c>
      <c r="BG26" s="1">
        <f>tPanel_Export[[#This Row],[RAMK_PENET_RUB]]*tPanel_Export[[#This Row],[TOTAL_SUM_FACT]]</f>
        <v>0</v>
      </c>
      <c r="BH26" s="1">
        <f>tPanel_Export[[#This Row],[AVL_PENET_SHT]]*tPanel_Export[[#This Row],[TOTAL_COUNT_FACT]]</f>
        <v>0</v>
      </c>
      <c r="BI26" s="1">
        <f>tPanel_Export[[#This Row],[AVL_PENET_RUB]]*tPanel_Export[[#This Row],[TOTAL_SUM_FACT]]</f>
        <v>0</v>
      </c>
      <c r="BJ26" s="1">
        <f>1</f>
        <v>1</v>
      </c>
      <c r="BK26" s="32">
        <f>IFERROR(IF(VLOOKUP(tPanel_Export[[#This Row],[DATE_TO]],Extra2!A:C,3,0)="месяц закрыт",1,$BR$1),1)</f>
        <v>1</v>
      </c>
      <c r="BL26" s="1" t="str">
        <f>VLOOKUP(tPanel_Export[[#This Row],[MAK]],Curators!A:B,2,0)</f>
        <v>Капшук</v>
      </c>
    </row>
    <row r="27" spans="1:64" x14ac:dyDescent="0.25">
      <c r="A27" s="5">
        <v>42005</v>
      </c>
      <c r="B27" s="5">
        <v>42369</v>
      </c>
      <c r="C27" t="s">
        <v>37</v>
      </c>
      <c r="E27">
        <v>985</v>
      </c>
      <c r="H27" s="1">
        <v>333231633.12</v>
      </c>
      <c r="J27" s="1">
        <v>338306.22651776602</v>
      </c>
      <c r="L27">
        <v>798</v>
      </c>
      <c r="O27">
        <v>113</v>
      </c>
      <c r="R27">
        <v>7</v>
      </c>
      <c r="U27">
        <v>0</v>
      </c>
      <c r="V27" s="3">
        <v>0</v>
      </c>
      <c r="W27" s="3">
        <v>3.5948000000000001E-2</v>
      </c>
      <c r="X27" s="3">
        <v>3.8623999999999999E-2</v>
      </c>
      <c r="Y27" s="3">
        <v>0</v>
      </c>
      <c r="Z27" s="3">
        <v>0</v>
      </c>
      <c r="AA27" s="3">
        <v>0.73197999999999996</v>
      </c>
      <c r="AB27" s="3">
        <v>0.65896999999999994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17">
        <v>18.4855248</v>
      </c>
      <c r="AJ27" s="17">
        <v>41.18</v>
      </c>
      <c r="AL27" s="17">
        <v>67</v>
      </c>
      <c r="AM27">
        <v>0.46150000000000002</v>
      </c>
      <c r="AN27" s="10">
        <v>557631649.62</v>
      </c>
      <c r="AO27" s="30">
        <f>tPanel_Export[[#This Row],[ASP_D_COUNT_PLAN]]+tPanel_Export[[#This Row],[C2C_COUNT_PLAN]]</f>
        <v>0</v>
      </c>
      <c r="AP27" s="30">
        <f>tPanel_Export[[#This Row],[ASP_D_COUNT_FACT]]+tPanel_Export[[#This Row],[C2C_COUNT_FACT]]</f>
        <v>7</v>
      </c>
      <c r="AQ27" s="1">
        <f>tPanel_Export[[#This Row],[MEDIUM_CHECK]]*tPanel_Export[[#This Row],[TOTAL_COUNT_FACT]]</f>
        <v>333231633.11999953</v>
      </c>
      <c r="AR27" s="10">
        <f>YEAR(tPanel_Export[[#This Row],[DATE_TO]])</f>
        <v>2015</v>
      </c>
      <c r="AS27" s="1">
        <f>MONTH(tPanel_Export[[#This Row],[DATE_TO]])</f>
        <v>12</v>
      </c>
      <c r="AT27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7" s="1">
        <f>tPanel_Export[[#This Row],[STAVKAGP]]*tPanel_Export[[#This Row],[TOTAL_SUM_FACT]]</f>
        <v>6159961618.1842613</v>
      </c>
      <c r="AV27" s="1">
        <f>tPanel_Export[[#This Row],[SROKKRED]]*tPanel_Export[[#This Row],[TOTAL_SUM_FACT]]</f>
        <v>13722478651.881599</v>
      </c>
      <c r="AW27" s="1">
        <f>tPanel_Export[[#This Row],[SV_PV]]*tPanel_Export[[#This Row],[VEHICLE_COST_RUR_AMT]]</f>
        <v>257347006.29963002</v>
      </c>
      <c r="AX27" s="1">
        <f>tPanel_Export[[#This Row],[VKASKO_PENET_SHT]]*tPanel_Export[[#This Row],[TOTAL_COUNT_FACT]]</f>
        <v>35.40878</v>
      </c>
      <c r="AY27" s="1">
        <f>tPanel_Export[[#This Row],[VKASKO_PENET_RUB]]*tPanel_Export[[#This Row],[TOTAL_SUM_FACT]]</f>
        <v>12870738.59762688</v>
      </c>
      <c r="AZ27" s="1">
        <f>tPanel_Export[[#This Row],[MKASKO_PENET_SHT]]*tPanel_Export[[#This Row],[TOTAL_COUNT_FACT]]</f>
        <v>0</v>
      </c>
      <c r="BA27" s="1">
        <f>tPanel_Export[[#This Row],[MKASKO_PENET_RUB]]*tPanel_Export[[#This Row],[TOTAL_SUM_FACT]]</f>
        <v>0</v>
      </c>
      <c r="BB27" s="1">
        <f>tPanel_Export[[#This Row],[SJ_PENET_SHT]]*tPanel_Export[[#This Row],[TOTAL_COUNT_FACT]]</f>
        <v>721.00029999999992</v>
      </c>
      <c r="BC27" s="1">
        <f>tPanel_Export[[#This Row],[SJ_PENET_RUB]]*tPanel_Export[[#This Row],[TOTAL_SUM_FACT]]</f>
        <v>219589649.27708638</v>
      </c>
      <c r="BD27" s="1">
        <f>tPanel_Export[[#This Row],[DKASKO_PENET_SHT]]*tPanel_Export[[#This Row],[TOTAL_COUNT_FACT]]</f>
        <v>0</v>
      </c>
      <c r="BE27" s="1">
        <f>tPanel_Export[[#This Row],[DKASKO_PENET_RUB]]*tPanel_Export[[#This Row],[TOTAL_SUM_FACT]]</f>
        <v>0</v>
      </c>
      <c r="BF27" s="1">
        <f>tPanel_Export[[#This Row],[RAMK_PENET_SHT]]*tPanel_Export[[#This Row],[TOTAL_COUNT_FACT]]</f>
        <v>0</v>
      </c>
      <c r="BG27" s="1">
        <f>tPanel_Export[[#This Row],[RAMK_PENET_RUB]]*tPanel_Export[[#This Row],[TOTAL_SUM_FACT]]</f>
        <v>0</v>
      </c>
      <c r="BH27" s="1">
        <f>tPanel_Export[[#This Row],[AVL_PENET_SHT]]*tPanel_Export[[#This Row],[TOTAL_COUNT_FACT]]</f>
        <v>0</v>
      </c>
      <c r="BI27" s="1">
        <f>tPanel_Export[[#This Row],[AVL_PENET_RUB]]*tPanel_Export[[#This Row],[TOTAL_SUM_FACT]]</f>
        <v>0</v>
      </c>
      <c r="BJ27" s="1">
        <f>1</f>
        <v>1</v>
      </c>
      <c r="BK27" s="32">
        <f>IFERROR(IF(VLOOKUP(tPanel_Export[[#This Row],[DATE_TO]],Extra2!A:C,3,0)="месяц закрыт",1,$BR$1),1)</f>
        <v>1</v>
      </c>
      <c r="BL27" s="1" t="str">
        <f>VLOOKUP(tPanel_Export[[#This Row],[MAK]],Curators!A:B,2,0)</f>
        <v>Иванов</v>
      </c>
    </row>
    <row r="28" spans="1:64" x14ac:dyDescent="0.25">
      <c r="A28" s="5">
        <v>42005</v>
      </c>
      <c r="B28" s="5">
        <v>42369</v>
      </c>
      <c r="C28" t="s">
        <v>24</v>
      </c>
      <c r="E28">
        <v>314</v>
      </c>
      <c r="H28" s="1">
        <v>125746409.06999999</v>
      </c>
      <c r="J28" s="1">
        <v>400466.270923567</v>
      </c>
      <c r="L28">
        <v>239</v>
      </c>
      <c r="O28">
        <v>57</v>
      </c>
      <c r="R28">
        <v>2</v>
      </c>
      <c r="U28">
        <v>0</v>
      </c>
      <c r="V28" s="3">
        <v>0</v>
      </c>
      <c r="W28" s="3">
        <v>5.7047E-2</v>
      </c>
      <c r="X28" s="3">
        <v>6.0116999999999997E-2</v>
      </c>
      <c r="Y28" s="3">
        <v>0</v>
      </c>
      <c r="Z28" s="3">
        <v>0</v>
      </c>
      <c r="AA28" s="3">
        <v>0.74203799999999998</v>
      </c>
      <c r="AB28" s="3">
        <v>0.69747099999999995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17">
        <v>18.126815499999999</v>
      </c>
      <c r="AJ28" s="17">
        <v>43.28</v>
      </c>
      <c r="AL28" s="17">
        <v>16</v>
      </c>
      <c r="AM28">
        <v>0.4073</v>
      </c>
      <c r="AN28" s="10">
        <v>190876542.5</v>
      </c>
      <c r="AO28" s="30">
        <f>tPanel_Export[[#This Row],[ASP_D_COUNT_PLAN]]+tPanel_Export[[#This Row],[C2C_COUNT_PLAN]]</f>
        <v>0</v>
      </c>
      <c r="AP28" s="30">
        <f>tPanel_Export[[#This Row],[ASP_D_COUNT_FACT]]+tPanel_Export[[#This Row],[C2C_COUNT_FACT]]</f>
        <v>2</v>
      </c>
      <c r="AQ28" s="1">
        <f>tPanel_Export[[#This Row],[MEDIUM_CHECK]]*tPanel_Export[[#This Row],[TOTAL_COUNT_FACT]]</f>
        <v>125746409.07000004</v>
      </c>
      <c r="AR28" s="10">
        <f>YEAR(tPanel_Export[[#This Row],[DATE_TO]])</f>
        <v>2015</v>
      </c>
      <c r="AS28" s="1">
        <f>MONTH(tPanel_Export[[#This Row],[DATE_TO]])</f>
        <v>12</v>
      </c>
      <c r="AT28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8" s="1">
        <f>tPanel_Export[[#This Row],[STAVKAGP]]*tPanel_Export[[#This Row],[TOTAL_SUM_FACT]]</f>
        <v>2279381956.9994164</v>
      </c>
      <c r="AV28" s="1">
        <f>tPanel_Export[[#This Row],[SROKKRED]]*tPanel_Export[[#This Row],[TOTAL_SUM_FACT]]</f>
        <v>5442304584.5495996</v>
      </c>
      <c r="AW28" s="1">
        <f>tPanel_Export[[#This Row],[SV_PV]]*tPanel_Export[[#This Row],[VEHICLE_COST_RUR_AMT]]</f>
        <v>77744015.760250002</v>
      </c>
      <c r="AX28" s="1">
        <f>tPanel_Export[[#This Row],[VKASKO_PENET_SHT]]*tPanel_Export[[#This Row],[TOTAL_COUNT_FACT]]</f>
        <v>17.912758</v>
      </c>
      <c r="AY28" s="1">
        <f>tPanel_Export[[#This Row],[VKASKO_PENET_RUB]]*tPanel_Export[[#This Row],[TOTAL_SUM_FACT]]</f>
        <v>7559496.8740611896</v>
      </c>
      <c r="AZ28" s="1">
        <f>tPanel_Export[[#This Row],[MKASKO_PENET_SHT]]*tPanel_Export[[#This Row],[TOTAL_COUNT_FACT]]</f>
        <v>0</v>
      </c>
      <c r="BA28" s="1">
        <f>tPanel_Export[[#This Row],[MKASKO_PENET_RUB]]*tPanel_Export[[#This Row],[TOTAL_SUM_FACT]]</f>
        <v>0</v>
      </c>
      <c r="BB28" s="1">
        <f>tPanel_Export[[#This Row],[SJ_PENET_SHT]]*tPanel_Export[[#This Row],[TOTAL_COUNT_FACT]]</f>
        <v>232.999932</v>
      </c>
      <c r="BC28" s="1">
        <f>tPanel_Export[[#This Row],[SJ_PENET_RUB]]*tPanel_Export[[#This Row],[TOTAL_SUM_FACT]]</f>
        <v>87704473.680461958</v>
      </c>
      <c r="BD28" s="1">
        <f>tPanel_Export[[#This Row],[DKASKO_PENET_SHT]]*tPanel_Export[[#This Row],[TOTAL_COUNT_FACT]]</f>
        <v>0</v>
      </c>
      <c r="BE28" s="1">
        <f>tPanel_Export[[#This Row],[DKASKO_PENET_RUB]]*tPanel_Export[[#This Row],[TOTAL_SUM_FACT]]</f>
        <v>0</v>
      </c>
      <c r="BF28" s="1">
        <f>tPanel_Export[[#This Row],[RAMK_PENET_SHT]]*tPanel_Export[[#This Row],[TOTAL_COUNT_FACT]]</f>
        <v>0</v>
      </c>
      <c r="BG28" s="1">
        <f>tPanel_Export[[#This Row],[RAMK_PENET_RUB]]*tPanel_Export[[#This Row],[TOTAL_SUM_FACT]]</f>
        <v>0</v>
      </c>
      <c r="BH28" s="1">
        <f>tPanel_Export[[#This Row],[AVL_PENET_SHT]]*tPanel_Export[[#This Row],[TOTAL_COUNT_FACT]]</f>
        <v>0</v>
      </c>
      <c r="BI28" s="1">
        <f>tPanel_Export[[#This Row],[AVL_PENET_RUB]]*tPanel_Export[[#This Row],[TOTAL_SUM_FACT]]</f>
        <v>0</v>
      </c>
      <c r="BJ28" s="1">
        <f>1</f>
        <v>1</v>
      </c>
      <c r="BK28" s="32">
        <f>IFERROR(IF(VLOOKUP(tPanel_Export[[#This Row],[DATE_TO]],Extra2!A:C,3,0)="месяц закрыт",1,$BR$1),1)</f>
        <v>1</v>
      </c>
      <c r="BL28" s="1" t="str">
        <f>VLOOKUP(tPanel_Export[[#This Row],[MAK]],Curators!A:B,2,0)</f>
        <v>Капшук</v>
      </c>
    </row>
    <row r="29" spans="1:64" x14ac:dyDescent="0.25">
      <c r="A29" s="5">
        <v>42005</v>
      </c>
      <c r="B29" s="5">
        <v>42369</v>
      </c>
      <c r="C29" t="s">
        <v>60</v>
      </c>
      <c r="E29">
        <v>484</v>
      </c>
      <c r="H29" s="1">
        <v>198516063.83000001</v>
      </c>
      <c r="J29" s="1">
        <v>410157.15667355398</v>
      </c>
      <c r="L29">
        <v>377</v>
      </c>
      <c r="O29">
        <v>60</v>
      </c>
      <c r="R29">
        <v>17</v>
      </c>
      <c r="U29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0.78305800000000003</v>
      </c>
      <c r="AB29" s="3">
        <v>0.65758499999999998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17">
        <v>18.587691499999998</v>
      </c>
      <c r="AJ29" s="17">
        <v>42.25</v>
      </c>
      <c r="AL29" s="17">
        <v>30</v>
      </c>
      <c r="AM29">
        <v>0.4612</v>
      </c>
      <c r="AN29" s="10">
        <v>333258462.73000002</v>
      </c>
      <c r="AO29" s="30">
        <f>tPanel_Export[[#This Row],[ASP_D_COUNT_PLAN]]+tPanel_Export[[#This Row],[C2C_COUNT_PLAN]]</f>
        <v>0</v>
      </c>
      <c r="AP29" s="30">
        <f>tPanel_Export[[#This Row],[ASP_D_COUNT_FACT]]+tPanel_Export[[#This Row],[C2C_COUNT_FACT]]</f>
        <v>17</v>
      </c>
      <c r="AQ29" s="1">
        <f>tPanel_Export[[#This Row],[MEDIUM_CHECK]]*tPanel_Export[[#This Row],[TOTAL_COUNT_FACT]]</f>
        <v>198516063.83000013</v>
      </c>
      <c r="AR29" s="10">
        <f>YEAR(tPanel_Export[[#This Row],[DATE_TO]])</f>
        <v>2015</v>
      </c>
      <c r="AS29" s="1">
        <f>MONTH(tPanel_Export[[#This Row],[DATE_TO]])</f>
        <v>12</v>
      </c>
      <c r="AT29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29" s="1">
        <f>tPanel_Export[[#This Row],[STAVKAGP]]*tPanel_Export[[#This Row],[TOTAL_SUM_FACT]]</f>
        <v>3689955352.2663484</v>
      </c>
      <c r="AV29" s="1">
        <f>tPanel_Export[[#This Row],[SROKKRED]]*tPanel_Export[[#This Row],[TOTAL_SUM_FACT]]</f>
        <v>8387303696.8175001</v>
      </c>
      <c r="AW29" s="1">
        <f>tPanel_Export[[#This Row],[SV_PV]]*tPanel_Export[[#This Row],[VEHICLE_COST_RUR_AMT]]</f>
        <v>153698803.011076</v>
      </c>
      <c r="AX29" s="1">
        <f>tPanel_Export[[#This Row],[VKASKO_PENET_SHT]]*tPanel_Export[[#This Row],[TOTAL_COUNT_FACT]]</f>
        <v>0</v>
      </c>
      <c r="AY29" s="1">
        <f>tPanel_Export[[#This Row],[VKASKO_PENET_RUB]]*tPanel_Export[[#This Row],[TOTAL_SUM_FACT]]</f>
        <v>0</v>
      </c>
      <c r="AZ29" s="1">
        <f>tPanel_Export[[#This Row],[MKASKO_PENET_SHT]]*tPanel_Export[[#This Row],[TOTAL_COUNT_FACT]]</f>
        <v>0</v>
      </c>
      <c r="BA29" s="1">
        <f>tPanel_Export[[#This Row],[MKASKO_PENET_RUB]]*tPanel_Export[[#This Row],[TOTAL_SUM_FACT]]</f>
        <v>0</v>
      </c>
      <c r="BB29" s="1">
        <f>tPanel_Export[[#This Row],[SJ_PENET_SHT]]*tPanel_Export[[#This Row],[TOTAL_COUNT_FACT]]</f>
        <v>379.00007199999999</v>
      </c>
      <c r="BC29" s="1">
        <f>tPanel_Export[[#This Row],[SJ_PENET_RUB]]*tPanel_Export[[#This Row],[TOTAL_SUM_FACT]]</f>
        <v>130541185.83365056</v>
      </c>
      <c r="BD29" s="1">
        <f>tPanel_Export[[#This Row],[DKASKO_PENET_SHT]]*tPanel_Export[[#This Row],[TOTAL_COUNT_FACT]]</f>
        <v>0</v>
      </c>
      <c r="BE29" s="1">
        <f>tPanel_Export[[#This Row],[DKASKO_PENET_RUB]]*tPanel_Export[[#This Row],[TOTAL_SUM_FACT]]</f>
        <v>0</v>
      </c>
      <c r="BF29" s="1">
        <f>tPanel_Export[[#This Row],[RAMK_PENET_SHT]]*tPanel_Export[[#This Row],[TOTAL_COUNT_FACT]]</f>
        <v>0</v>
      </c>
      <c r="BG29" s="1">
        <f>tPanel_Export[[#This Row],[RAMK_PENET_RUB]]*tPanel_Export[[#This Row],[TOTAL_SUM_FACT]]</f>
        <v>0</v>
      </c>
      <c r="BH29" s="1">
        <f>tPanel_Export[[#This Row],[AVL_PENET_SHT]]*tPanel_Export[[#This Row],[TOTAL_COUNT_FACT]]</f>
        <v>0</v>
      </c>
      <c r="BI29" s="1">
        <f>tPanel_Export[[#This Row],[AVL_PENET_RUB]]*tPanel_Export[[#This Row],[TOTAL_SUM_FACT]]</f>
        <v>0</v>
      </c>
      <c r="BJ29" s="1">
        <f>1</f>
        <v>1</v>
      </c>
      <c r="BK29" s="32">
        <f>IFERROR(IF(VLOOKUP(tPanel_Export[[#This Row],[DATE_TO]],Extra2!A:C,3,0)="месяц закрыт",1,$BR$1),1)</f>
        <v>1</v>
      </c>
      <c r="BL29" s="1" t="str">
        <f>VLOOKUP(tPanel_Export[[#This Row],[MAK]],Curators!A:B,2,0)</f>
        <v>Кашин</v>
      </c>
    </row>
    <row r="30" spans="1:64" x14ac:dyDescent="0.25">
      <c r="A30" s="5">
        <v>42005</v>
      </c>
      <c r="B30" s="5">
        <v>42369</v>
      </c>
      <c r="C30" t="s">
        <v>5</v>
      </c>
      <c r="E30">
        <v>375</v>
      </c>
      <c r="H30" s="1">
        <v>171093055.63999999</v>
      </c>
      <c r="J30" s="1">
        <v>456248.14837333298</v>
      </c>
      <c r="L30">
        <v>276</v>
      </c>
      <c r="O30">
        <v>73</v>
      </c>
      <c r="R30">
        <v>11</v>
      </c>
      <c r="U30">
        <v>0</v>
      </c>
      <c r="V30" s="3">
        <v>0</v>
      </c>
      <c r="W30" s="3">
        <v>6.1110999999999999E-2</v>
      </c>
      <c r="X30" s="3">
        <v>5.2377E-2</v>
      </c>
      <c r="Y30" s="3">
        <v>2.6670000000000001E-3</v>
      </c>
      <c r="Z30" s="3">
        <v>2.6809999999999998E-3</v>
      </c>
      <c r="AA30" s="3">
        <v>0.63466699999999998</v>
      </c>
      <c r="AB30" s="3">
        <v>0.55344000000000004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17">
        <v>18.247930400000001</v>
      </c>
      <c r="AJ30" s="17">
        <v>42.47</v>
      </c>
      <c r="AL30" s="17">
        <v>15</v>
      </c>
      <c r="AM30">
        <v>0.43840000000000001</v>
      </c>
      <c r="AN30" s="10">
        <v>281269267.22000003</v>
      </c>
      <c r="AO30" s="30">
        <f>tPanel_Export[[#This Row],[ASP_D_COUNT_PLAN]]+tPanel_Export[[#This Row],[C2C_COUNT_PLAN]]</f>
        <v>0</v>
      </c>
      <c r="AP30" s="30">
        <f>tPanel_Export[[#This Row],[ASP_D_COUNT_FACT]]+tPanel_Export[[#This Row],[C2C_COUNT_FACT]]</f>
        <v>11</v>
      </c>
      <c r="AQ30" s="1">
        <f>tPanel_Export[[#This Row],[MEDIUM_CHECK]]*tPanel_Export[[#This Row],[TOTAL_COUNT_FACT]]</f>
        <v>171093055.63999987</v>
      </c>
      <c r="AR30" s="10">
        <f>YEAR(tPanel_Export[[#This Row],[DATE_TO]])</f>
        <v>2015</v>
      </c>
      <c r="AS30" s="1">
        <f>MONTH(tPanel_Export[[#This Row],[DATE_TO]])</f>
        <v>12</v>
      </c>
      <c r="AT30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0" s="1">
        <f>tPanel_Export[[#This Row],[STAVKAGP]]*tPanel_Export[[#This Row],[TOTAL_SUM_FACT]]</f>
        <v>3122094171.2420473</v>
      </c>
      <c r="AV30" s="1">
        <f>tPanel_Export[[#This Row],[SROKKRED]]*tPanel_Export[[#This Row],[TOTAL_SUM_FACT]]</f>
        <v>7266322073.0307989</v>
      </c>
      <c r="AW30" s="1">
        <f>tPanel_Export[[#This Row],[SV_PV]]*tPanel_Export[[#This Row],[VEHICLE_COST_RUR_AMT]]</f>
        <v>123308446.74924801</v>
      </c>
      <c r="AX30" s="1">
        <f>tPanel_Export[[#This Row],[VKASKO_PENET_SHT]]*tPanel_Export[[#This Row],[TOTAL_COUNT_FACT]]</f>
        <v>22.916625</v>
      </c>
      <c r="AY30" s="1">
        <f>tPanel_Export[[#This Row],[VKASKO_PENET_RUB]]*tPanel_Export[[#This Row],[TOTAL_SUM_FACT]]</f>
        <v>8961340.9752562791</v>
      </c>
      <c r="AZ30" s="1">
        <f>tPanel_Export[[#This Row],[MKASKO_PENET_SHT]]*tPanel_Export[[#This Row],[TOTAL_COUNT_FACT]]</f>
        <v>1.0001249999999999</v>
      </c>
      <c r="BA30" s="1">
        <f>tPanel_Export[[#This Row],[MKASKO_PENET_RUB]]*tPanel_Export[[#This Row],[TOTAL_SUM_FACT]]</f>
        <v>458700.48217083991</v>
      </c>
      <c r="BB30" s="1">
        <f>tPanel_Export[[#This Row],[SJ_PENET_SHT]]*tPanel_Export[[#This Row],[TOTAL_COUNT_FACT]]</f>
        <v>238.000125</v>
      </c>
      <c r="BC30" s="1">
        <f>tPanel_Export[[#This Row],[SJ_PENET_RUB]]*tPanel_Export[[#This Row],[TOTAL_SUM_FACT]]</f>
        <v>94689740.713401601</v>
      </c>
      <c r="BD30" s="1">
        <f>tPanel_Export[[#This Row],[DKASKO_PENET_SHT]]*tPanel_Export[[#This Row],[TOTAL_COUNT_FACT]]</f>
        <v>0</v>
      </c>
      <c r="BE30" s="1">
        <f>tPanel_Export[[#This Row],[DKASKO_PENET_RUB]]*tPanel_Export[[#This Row],[TOTAL_SUM_FACT]]</f>
        <v>0</v>
      </c>
      <c r="BF30" s="1">
        <f>tPanel_Export[[#This Row],[RAMK_PENET_SHT]]*tPanel_Export[[#This Row],[TOTAL_COUNT_FACT]]</f>
        <v>0</v>
      </c>
      <c r="BG30" s="1">
        <f>tPanel_Export[[#This Row],[RAMK_PENET_RUB]]*tPanel_Export[[#This Row],[TOTAL_SUM_FACT]]</f>
        <v>0</v>
      </c>
      <c r="BH30" s="1">
        <f>tPanel_Export[[#This Row],[AVL_PENET_SHT]]*tPanel_Export[[#This Row],[TOTAL_COUNT_FACT]]</f>
        <v>0</v>
      </c>
      <c r="BI30" s="1">
        <f>tPanel_Export[[#This Row],[AVL_PENET_RUB]]*tPanel_Export[[#This Row],[TOTAL_SUM_FACT]]</f>
        <v>0</v>
      </c>
      <c r="BJ30" s="1">
        <f>1</f>
        <v>1</v>
      </c>
      <c r="BK30" s="32">
        <f>IFERROR(IF(VLOOKUP(tPanel_Export[[#This Row],[DATE_TO]],Extra2!A:C,3,0)="месяц закрыт",1,$BR$1),1)</f>
        <v>1</v>
      </c>
      <c r="BL30" s="1" t="str">
        <f>VLOOKUP(tPanel_Export[[#This Row],[MAK]],Curators!A:B,2,0)</f>
        <v>Швейцаров</v>
      </c>
    </row>
    <row r="31" spans="1:64" x14ac:dyDescent="0.25">
      <c r="A31" s="5">
        <v>42005</v>
      </c>
      <c r="B31" s="5">
        <v>42369</v>
      </c>
      <c r="C31" t="s">
        <v>38</v>
      </c>
      <c r="E31">
        <v>208</v>
      </c>
      <c r="H31" s="1">
        <v>77867951.079999998</v>
      </c>
      <c r="J31" s="1">
        <v>374365.149423077</v>
      </c>
      <c r="L31">
        <v>174</v>
      </c>
      <c r="O31">
        <v>23</v>
      </c>
      <c r="R31">
        <v>4</v>
      </c>
      <c r="U31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0.62980800000000003</v>
      </c>
      <c r="AB31" s="3">
        <v>0.59404100000000004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17">
        <v>19.497179899999999</v>
      </c>
      <c r="AJ31" s="17">
        <v>43.89</v>
      </c>
      <c r="AL31" s="17">
        <v>7</v>
      </c>
      <c r="AM31">
        <v>0.40550000000000003</v>
      </c>
      <c r="AN31" s="10">
        <v>118531396.73</v>
      </c>
      <c r="AO31" s="30">
        <f>tPanel_Export[[#This Row],[ASP_D_COUNT_PLAN]]+tPanel_Export[[#This Row],[C2C_COUNT_PLAN]]</f>
        <v>0</v>
      </c>
      <c r="AP31" s="30">
        <f>tPanel_Export[[#This Row],[ASP_D_COUNT_FACT]]+tPanel_Export[[#This Row],[C2C_COUNT_FACT]]</f>
        <v>4</v>
      </c>
      <c r="AQ31" s="1">
        <f>tPanel_Export[[#This Row],[MEDIUM_CHECK]]*tPanel_Export[[#This Row],[TOTAL_COUNT_FACT]]</f>
        <v>77867951.080000013</v>
      </c>
      <c r="AR31" s="10">
        <f>YEAR(tPanel_Export[[#This Row],[DATE_TO]])</f>
        <v>2015</v>
      </c>
      <c r="AS31" s="1">
        <f>MONTH(tPanel_Export[[#This Row],[DATE_TO]])</f>
        <v>12</v>
      </c>
      <c r="AT31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1" s="1">
        <f>tPanel_Export[[#This Row],[STAVKAGP]]*tPanel_Export[[#This Row],[TOTAL_SUM_FACT]]</f>
        <v>1518205450.6511593</v>
      </c>
      <c r="AV31" s="1">
        <f>tPanel_Export[[#This Row],[SROKKRED]]*tPanel_Export[[#This Row],[TOTAL_SUM_FACT]]</f>
        <v>3417624372.9011998</v>
      </c>
      <c r="AW31" s="1">
        <f>tPanel_Export[[#This Row],[SV_PV]]*tPanel_Export[[#This Row],[VEHICLE_COST_RUR_AMT]]</f>
        <v>48064481.374015003</v>
      </c>
      <c r="AX31" s="1">
        <f>tPanel_Export[[#This Row],[VKASKO_PENET_SHT]]*tPanel_Export[[#This Row],[TOTAL_COUNT_FACT]]</f>
        <v>0</v>
      </c>
      <c r="AY31" s="1">
        <f>tPanel_Export[[#This Row],[VKASKO_PENET_RUB]]*tPanel_Export[[#This Row],[TOTAL_SUM_FACT]]</f>
        <v>0</v>
      </c>
      <c r="AZ31" s="1">
        <f>tPanel_Export[[#This Row],[MKASKO_PENET_SHT]]*tPanel_Export[[#This Row],[TOTAL_COUNT_FACT]]</f>
        <v>0</v>
      </c>
      <c r="BA31" s="1">
        <f>tPanel_Export[[#This Row],[MKASKO_PENET_RUB]]*tPanel_Export[[#This Row],[TOTAL_SUM_FACT]]</f>
        <v>0</v>
      </c>
      <c r="BB31" s="1">
        <f>tPanel_Export[[#This Row],[SJ_PENET_SHT]]*tPanel_Export[[#This Row],[TOTAL_COUNT_FACT]]</f>
        <v>131.00006400000001</v>
      </c>
      <c r="BC31" s="1">
        <f>tPanel_Export[[#This Row],[SJ_PENET_RUB]]*tPanel_Export[[#This Row],[TOTAL_SUM_FACT]]</f>
        <v>46256755.527514279</v>
      </c>
      <c r="BD31" s="1">
        <f>tPanel_Export[[#This Row],[DKASKO_PENET_SHT]]*tPanel_Export[[#This Row],[TOTAL_COUNT_FACT]]</f>
        <v>0</v>
      </c>
      <c r="BE31" s="1">
        <f>tPanel_Export[[#This Row],[DKASKO_PENET_RUB]]*tPanel_Export[[#This Row],[TOTAL_SUM_FACT]]</f>
        <v>0</v>
      </c>
      <c r="BF31" s="1">
        <f>tPanel_Export[[#This Row],[RAMK_PENET_SHT]]*tPanel_Export[[#This Row],[TOTAL_COUNT_FACT]]</f>
        <v>0</v>
      </c>
      <c r="BG31" s="1">
        <f>tPanel_Export[[#This Row],[RAMK_PENET_RUB]]*tPanel_Export[[#This Row],[TOTAL_SUM_FACT]]</f>
        <v>0</v>
      </c>
      <c r="BH31" s="1">
        <f>tPanel_Export[[#This Row],[AVL_PENET_SHT]]*tPanel_Export[[#This Row],[TOTAL_COUNT_FACT]]</f>
        <v>0</v>
      </c>
      <c r="BI31" s="1">
        <f>tPanel_Export[[#This Row],[AVL_PENET_RUB]]*tPanel_Export[[#This Row],[TOTAL_SUM_FACT]]</f>
        <v>0</v>
      </c>
      <c r="BJ31" s="1">
        <f>1</f>
        <v>1</v>
      </c>
      <c r="BK31" s="32">
        <f>IFERROR(IF(VLOOKUP(tPanel_Export[[#This Row],[DATE_TO]],Extra2!A:C,3,0)="месяц закрыт",1,$BR$1),1)</f>
        <v>1</v>
      </c>
      <c r="BL31" s="1" t="str">
        <f>VLOOKUP(tPanel_Export[[#This Row],[MAK]],Curators!A:B,2,0)</f>
        <v>Швейцаров</v>
      </c>
    </row>
    <row r="32" spans="1:64" x14ac:dyDescent="0.25">
      <c r="A32" s="5">
        <v>42005</v>
      </c>
      <c r="B32" s="5">
        <v>42369</v>
      </c>
      <c r="C32" t="s">
        <v>29</v>
      </c>
      <c r="E32">
        <v>625</v>
      </c>
      <c r="H32" s="1">
        <v>250268800.80000001</v>
      </c>
      <c r="J32" s="1">
        <v>400430.08127999998</v>
      </c>
      <c r="L32">
        <v>555</v>
      </c>
      <c r="O32">
        <v>46</v>
      </c>
      <c r="R32">
        <v>6</v>
      </c>
      <c r="U32">
        <v>0</v>
      </c>
      <c r="V32" s="3">
        <v>0</v>
      </c>
      <c r="W32" s="3">
        <v>8.2372000000000001E-2</v>
      </c>
      <c r="X32" s="3">
        <v>7.0744000000000001E-2</v>
      </c>
      <c r="Y32" s="3">
        <v>0</v>
      </c>
      <c r="Z32" s="3">
        <v>0</v>
      </c>
      <c r="AA32" s="3">
        <v>0.68959999999999999</v>
      </c>
      <c r="AB32" s="3">
        <v>0.64245799999999997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17">
        <v>17.109566300000001</v>
      </c>
      <c r="AJ32" s="17">
        <v>39.979999999999997</v>
      </c>
      <c r="AL32" s="17">
        <v>18</v>
      </c>
      <c r="AM32">
        <v>0.41760000000000003</v>
      </c>
      <c r="AN32" s="10">
        <v>394268832.30000001</v>
      </c>
      <c r="AO32" s="30">
        <f>tPanel_Export[[#This Row],[ASP_D_COUNT_PLAN]]+tPanel_Export[[#This Row],[C2C_COUNT_PLAN]]</f>
        <v>0</v>
      </c>
      <c r="AP32" s="30">
        <f>tPanel_Export[[#This Row],[ASP_D_COUNT_FACT]]+tPanel_Export[[#This Row],[C2C_COUNT_FACT]]</f>
        <v>6</v>
      </c>
      <c r="AQ32" s="1">
        <f>tPanel_Export[[#This Row],[MEDIUM_CHECK]]*tPanel_Export[[#This Row],[TOTAL_COUNT_FACT]]</f>
        <v>250268800.79999998</v>
      </c>
      <c r="AR32" s="10">
        <f>YEAR(tPanel_Export[[#This Row],[DATE_TO]])</f>
        <v>2015</v>
      </c>
      <c r="AS32" s="1">
        <f>MONTH(tPanel_Export[[#This Row],[DATE_TO]])</f>
        <v>12</v>
      </c>
      <c r="AT3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2" s="1">
        <f>tPanel_Export[[#This Row],[STAVKAGP]]*tPanel_Export[[#This Row],[TOTAL_SUM_FACT]]</f>
        <v>4281990640.1090937</v>
      </c>
      <c r="AV32" s="1">
        <f>tPanel_Export[[#This Row],[SROKKRED]]*tPanel_Export[[#This Row],[TOTAL_SUM_FACT]]</f>
        <v>10005746655.983999</v>
      </c>
      <c r="AW32" s="1">
        <f>tPanel_Export[[#This Row],[SV_PV]]*tPanel_Export[[#This Row],[VEHICLE_COST_RUR_AMT]]</f>
        <v>164646664.36848003</v>
      </c>
      <c r="AX32" s="1">
        <f>tPanel_Export[[#This Row],[VKASKO_PENET_SHT]]*tPanel_Export[[#This Row],[TOTAL_COUNT_FACT]]</f>
        <v>51.482500000000002</v>
      </c>
      <c r="AY32" s="1">
        <f>tPanel_Export[[#This Row],[VKASKO_PENET_RUB]]*tPanel_Export[[#This Row],[TOTAL_SUM_FACT]]</f>
        <v>17705016.043795202</v>
      </c>
      <c r="AZ32" s="1">
        <f>tPanel_Export[[#This Row],[MKASKO_PENET_SHT]]*tPanel_Export[[#This Row],[TOTAL_COUNT_FACT]]</f>
        <v>0</v>
      </c>
      <c r="BA32" s="1">
        <f>tPanel_Export[[#This Row],[MKASKO_PENET_RUB]]*tPanel_Export[[#This Row],[TOTAL_SUM_FACT]]</f>
        <v>0</v>
      </c>
      <c r="BB32" s="1">
        <f>tPanel_Export[[#This Row],[SJ_PENET_SHT]]*tPanel_Export[[#This Row],[TOTAL_COUNT_FACT]]</f>
        <v>431</v>
      </c>
      <c r="BC32" s="1">
        <f>tPanel_Export[[#This Row],[SJ_PENET_RUB]]*tPanel_Export[[#This Row],[TOTAL_SUM_FACT]]</f>
        <v>160787193.2243664</v>
      </c>
      <c r="BD32" s="1">
        <f>tPanel_Export[[#This Row],[DKASKO_PENET_SHT]]*tPanel_Export[[#This Row],[TOTAL_COUNT_FACT]]</f>
        <v>0</v>
      </c>
      <c r="BE32" s="1">
        <f>tPanel_Export[[#This Row],[DKASKO_PENET_RUB]]*tPanel_Export[[#This Row],[TOTAL_SUM_FACT]]</f>
        <v>0</v>
      </c>
      <c r="BF32" s="1">
        <f>tPanel_Export[[#This Row],[RAMK_PENET_SHT]]*tPanel_Export[[#This Row],[TOTAL_COUNT_FACT]]</f>
        <v>0</v>
      </c>
      <c r="BG32" s="1">
        <f>tPanel_Export[[#This Row],[RAMK_PENET_RUB]]*tPanel_Export[[#This Row],[TOTAL_SUM_FACT]]</f>
        <v>0</v>
      </c>
      <c r="BH32" s="1">
        <f>tPanel_Export[[#This Row],[AVL_PENET_SHT]]*tPanel_Export[[#This Row],[TOTAL_COUNT_FACT]]</f>
        <v>0</v>
      </c>
      <c r="BI32" s="1">
        <f>tPanel_Export[[#This Row],[AVL_PENET_RUB]]*tPanel_Export[[#This Row],[TOTAL_SUM_FACT]]</f>
        <v>0</v>
      </c>
      <c r="BJ32" s="1">
        <f>1</f>
        <v>1</v>
      </c>
      <c r="BK32" s="32">
        <f>IFERROR(IF(VLOOKUP(tPanel_Export[[#This Row],[DATE_TO]],Extra2!A:C,3,0)="месяц закрыт",1,$BR$1),1)</f>
        <v>1</v>
      </c>
      <c r="BL32" s="1" t="str">
        <f>VLOOKUP(tPanel_Export[[#This Row],[MAK]],Curators!A:B,2,0)</f>
        <v>Иванов</v>
      </c>
    </row>
    <row r="33" spans="1:64" x14ac:dyDescent="0.25">
      <c r="A33" s="5">
        <v>42005</v>
      </c>
      <c r="B33" s="5">
        <v>42369</v>
      </c>
      <c r="C33" t="s">
        <v>27</v>
      </c>
      <c r="E33">
        <v>1071</v>
      </c>
      <c r="H33" s="1">
        <v>530370540.49000001</v>
      </c>
      <c r="J33" s="1">
        <v>495210.58869280998</v>
      </c>
      <c r="L33">
        <v>704</v>
      </c>
      <c r="O33">
        <v>292</v>
      </c>
      <c r="R33">
        <v>10</v>
      </c>
      <c r="U3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0.78524700000000003</v>
      </c>
      <c r="AB33" s="3">
        <v>0.67443600000000004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17">
        <v>17.7242806</v>
      </c>
      <c r="AJ33" s="17">
        <v>44.5</v>
      </c>
      <c r="AL33" s="17">
        <v>65</v>
      </c>
      <c r="AM33">
        <v>0.43090000000000001</v>
      </c>
      <c r="AN33" s="10">
        <v>832826117.60000002</v>
      </c>
      <c r="AO33" s="30">
        <f>tPanel_Export[[#This Row],[ASP_D_COUNT_PLAN]]+tPanel_Export[[#This Row],[C2C_COUNT_PLAN]]</f>
        <v>0</v>
      </c>
      <c r="AP33" s="30">
        <f>tPanel_Export[[#This Row],[ASP_D_COUNT_FACT]]+tPanel_Export[[#This Row],[C2C_COUNT_FACT]]</f>
        <v>10</v>
      </c>
      <c r="AQ33" s="1">
        <f>tPanel_Export[[#This Row],[MEDIUM_CHECK]]*tPanel_Export[[#This Row],[TOTAL_COUNT_FACT]]</f>
        <v>530370540.48999947</v>
      </c>
      <c r="AR33" s="10">
        <f>YEAR(tPanel_Export[[#This Row],[DATE_TO]])</f>
        <v>2015</v>
      </c>
      <c r="AS33" s="1">
        <f>MONTH(tPanel_Export[[#This Row],[DATE_TO]])</f>
        <v>12</v>
      </c>
      <c r="AT3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3" s="1">
        <f>tPanel_Export[[#This Row],[STAVKAGP]]*tPanel_Export[[#This Row],[TOTAL_SUM_FACT]]</f>
        <v>9400436281.6184216</v>
      </c>
      <c r="AV33" s="1">
        <f>tPanel_Export[[#This Row],[SROKKRED]]*tPanel_Export[[#This Row],[TOTAL_SUM_FACT]]</f>
        <v>23601489051.805</v>
      </c>
      <c r="AW33" s="1">
        <f>tPanel_Export[[#This Row],[SV_PV]]*tPanel_Export[[#This Row],[VEHICLE_COST_RUR_AMT]]</f>
        <v>358864774.07384002</v>
      </c>
      <c r="AX33" s="1">
        <f>tPanel_Export[[#This Row],[VKASKO_PENET_SHT]]*tPanel_Export[[#This Row],[TOTAL_COUNT_FACT]]</f>
        <v>0</v>
      </c>
      <c r="AY33" s="1">
        <f>tPanel_Export[[#This Row],[VKASKO_PENET_RUB]]*tPanel_Export[[#This Row],[TOTAL_SUM_FACT]]</f>
        <v>0</v>
      </c>
      <c r="AZ33" s="1">
        <f>tPanel_Export[[#This Row],[MKASKO_PENET_SHT]]*tPanel_Export[[#This Row],[TOTAL_COUNT_FACT]]</f>
        <v>0</v>
      </c>
      <c r="BA33" s="1">
        <f>tPanel_Export[[#This Row],[MKASKO_PENET_RUB]]*tPanel_Export[[#This Row],[TOTAL_SUM_FACT]]</f>
        <v>0</v>
      </c>
      <c r="BB33" s="1">
        <f>tPanel_Export[[#This Row],[SJ_PENET_SHT]]*tPanel_Export[[#This Row],[TOTAL_COUNT_FACT]]</f>
        <v>840.99953700000003</v>
      </c>
      <c r="BC33" s="1">
        <f>tPanel_Export[[#This Row],[SJ_PENET_RUB]]*tPanel_Export[[#This Row],[TOTAL_SUM_FACT]]</f>
        <v>357700985.84591365</v>
      </c>
      <c r="BD33" s="1">
        <f>tPanel_Export[[#This Row],[DKASKO_PENET_SHT]]*tPanel_Export[[#This Row],[TOTAL_COUNT_FACT]]</f>
        <v>0</v>
      </c>
      <c r="BE33" s="1">
        <f>tPanel_Export[[#This Row],[DKASKO_PENET_RUB]]*tPanel_Export[[#This Row],[TOTAL_SUM_FACT]]</f>
        <v>0</v>
      </c>
      <c r="BF33" s="1">
        <f>tPanel_Export[[#This Row],[RAMK_PENET_SHT]]*tPanel_Export[[#This Row],[TOTAL_COUNT_FACT]]</f>
        <v>0</v>
      </c>
      <c r="BG33" s="1">
        <f>tPanel_Export[[#This Row],[RAMK_PENET_RUB]]*tPanel_Export[[#This Row],[TOTAL_SUM_FACT]]</f>
        <v>0</v>
      </c>
      <c r="BH33" s="1">
        <f>tPanel_Export[[#This Row],[AVL_PENET_SHT]]*tPanel_Export[[#This Row],[TOTAL_COUNT_FACT]]</f>
        <v>0</v>
      </c>
      <c r="BI33" s="1">
        <f>tPanel_Export[[#This Row],[AVL_PENET_RUB]]*tPanel_Export[[#This Row],[TOTAL_SUM_FACT]]</f>
        <v>0</v>
      </c>
      <c r="BJ33" s="1">
        <f>1</f>
        <v>1</v>
      </c>
      <c r="BK33" s="32">
        <f>IFERROR(IF(VLOOKUP(tPanel_Export[[#This Row],[DATE_TO]],Extra2!A:C,3,0)="месяц закрыт",1,$BR$1),1)</f>
        <v>1</v>
      </c>
      <c r="BL33" s="1" t="str">
        <f>VLOOKUP(tPanel_Export[[#This Row],[MAK]],Curators!A:B,2,0)</f>
        <v>Кабдулин</v>
      </c>
    </row>
    <row r="34" spans="1:64" x14ac:dyDescent="0.25">
      <c r="A34" s="5">
        <v>42005</v>
      </c>
      <c r="B34" s="5">
        <v>42369</v>
      </c>
      <c r="C34" t="s">
        <v>63</v>
      </c>
      <c r="E34">
        <v>767</v>
      </c>
      <c r="H34" s="1">
        <v>237294437.81</v>
      </c>
      <c r="J34" s="1">
        <v>309379.97106910002</v>
      </c>
      <c r="L34">
        <v>493</v>
      </c>
      <c r="O34">
        <v>67</v>
      </c>
      <c r="R34">
        <v>11</v>
      </c>
      <c r="U34">
        <v>0</v>
      </c>
      <c r="V34" s="3">
        <v>0</v>
      </c>
      <c r="W34" s="3">
        <v>3.503E-3</v>
      </c>
      <c r="X34" s="3">
        <v>4.0559999999999997E-3</v>
      </c>
      <c r="Y34" s="3">
        <v>1.304E-3</v>
      </c>
      <c r="Z34" s="3">
        <v>3.2699999999999998E-4</v>
      </c>
      <c r="AA34" s="3">
        <v>0.74836999999999998</v>
      </c>
      <c r="AB34" s="3">
        <v>0.574237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17">
        <v>18.375359799999998</v>
      </c>
      <c r="AJ34" s="17">
        <v>41.85</v>
      </c>
      <c r="AL34" s="17">
        <v>196</v>
      </c>
      <c r="AM34">
        <v>0.49280000000000002</v>
      </c>
      <c r="AN34" s="10">
        <v>425032433.68000001</v>
      </c>
      <c r="AO34" s="30">
        <f>tPanel_Export[[#This Row],[ASP_D_COUNT_PLAN]]+tPanel_Export[[#This Row],[C2C_COUNT_PLAN]]</f>
        <v>0</v>
      </c>
      <c r="AP34" s="30">
        <f>tPanel_Export[[#This Row],[ASP_D_COUNT_FACT]]+tPanel_Export[[#This Row],[C2C_COUNT_FACT]]</f>
        <v>11</v>
      </c>
      <c r="AQ34" s="1">
        <f>tPanel_Export[[#This Row],[MEDIUM_CHECK]]*tPanel_Export[[#This Row],[TOTAL_COUNT_FACT]]</f>
        <v>237294437.8099997</v>
      </c>
      <c r="AR34" s="10">
        <f>YEAR(tPanel_Export[[#This Row],[DATE_TO]])</f>
        <v>2015</v>
      </c>
      <c r="AS34" s="1">
        <f>MONTH(tPanel_Export[[#This Row],[DATE_TO]])</f>
        <v>12</v>
      </c>
      <c r="AT3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4" s="1">
        <f>tPanel_Export[[#This Row],[STAVKAGP]]*tPanel_Export[[#This Row],[TOTAL_SUM_FACT]]</f>
        <v>4360370673.2974739</v>
      </c>
      <c r="AV34" s="1">
        <f>tPanel_Export[[#This Row],[SROKKRED]]*tPanel_Export[[#This Row],[TOTAL_SUM_FACT]]</f>
        <v>9930772222.3485012</v>
      </c>
      <c r="AW34" s="1">
        <f>tPanel_Export[[#This Row],[SV_PV]]*tPanel_Export[[#This Row],[VEHICLE_COST_RUR_AMT]]</f>
        <v>209455983.31750402</v>
      </c>
      <c r="AX34" s="1">
        <f>tPanel_Export[[#This Row],[VKASKO_PENET_SHT]]*tPanel_Export[[#This Row],[TOTAL_COUNT_FACT]]</f>
        <v>2.686801</v>
      </c>
      <c r="AY34" s="1">
        <f>tPanel_Export[[#This Row],[VKASKO_PENET_RUB]]*tPanel_Export[[#This Row],[TOTAL_SUM_FACT]]</f>
        <v>962466.23975735996</v>
      </c>
      <c r="AZ34" s="1">
        <f>tPanel_Export[[#This Row],[MKASKO_PENET_SHT]]*tPanel_Export[[#This Row],[TOTAL_COUNT_FACT]]</f>
        <v>1.0001679999999999</v>
      </c>
      <c r="BA34" s="1">
        <f>tPanel_Export[[#This Row],[MKASKO_PENET_RUB]]*tPanel_Export[[#This Row],[TOTAL_SUM_FACT]]</f>
        <v>77595.281163869993</v>
      </c>
      <c r="BB34" s="1">
        <f>tPanel_Export[[#This Row],[SJ_PENET_SHT]]*tPanel_Export[[#This Row],[TOTAL_COUNT_FACT]]</f>
        <v>573.99978999999996</v>
      </c>
      <c r="BC34" s="1">
        <f>tPanel_Export[[#This Row],[SJ_PENET_RUB]]*tPanel_Export[[#This Row],[TOTAL_SUM_FACT]]</f>
        <v>136263246.08470097</v>
      </c>
      <c r="BD34" s="1">
        <f>tPanel_Export[[#This Row],[DKASKO_PENET_SHT]]*tPanel_Export[[#This Row],[TOTAL_COUNT_FACT]]</f>
        <v>0</v>
      </c>
      <c r="BE34" s="1">
        <f>tPanel_Export[[#This Row],[DKASKO_PENET_RUB]]*tPanel_Export[[#This Row],[TOTAL_SUM_FACT]]</f>
        <v>0</v>
      </c>
      <c r="BF34" s="1">
        <f>tPanel_Export[[#This Row],[RAMK_PENET_SHT]]*tPanel_Export[[#This Row],[TOTAL_COUNT_FACT]]</f>
        <v>0</v>
      </c>
      <c r="BG34" s="1">
        <f>tPanel_Export[[#This Row],[RAMK_PENET_RUB]]*tPanel_Export[[#This Row],[TOTAL_SUM_FACT]]</f>
        <v>0</v>
      </c>
      <c r="BH34" s="1">
        <f>tPanel_Export[[#This Row],[AVL_PENET_SHT]]*tPanel_Export[[#This Row],[TOTAL_COUNT_FACT]]</f>
        <v>0</v>
      </c>
      <c r="BI34" s="1">
        <f>tPanel_Export[[#This Row],[AVL_PENET_RUB]]*tPanel_Export[[#This Row],[TOTAL_SUM_FACT]]</f>
        <v>0</v>
      </c>
      <c r="BJ34" s="1">
        <f>1</f>
        <v>1</v>
      </c>
      <c r="BK34" s="32">
        <f>IFERROR(IF(VLOOKUP(tPanel_Export[[#This Row],[DATE_TO]],Extra2!A:C,3,0)="месяц закрыт",1,$BR$1),1)</f>
        <v>1</v>
      </c>
      <c r="BL34" s="1" t="str">
        <f>VLOOKUP(tPanel_Export[[#This Row],[MAK]],Curators!A:B,2,0)</f>
        <v>Кашин</v>
      </c>
    </row>
    <row r="35" spans="1:64" x14ac:dyDescent="0.25">
      <c r="A35" s="5">
        <v>42005</v>
      </c>
      <c r="B35" s="5">
        <v>42369</v>
      </c>
      <c r="C35" t="s">
        <v>55</v>
      </c>
      <c r="E35">
        <v>5172</v>
      </c>
      <c r="H35" s="1">
        <v>2656233049.5300002</v>
      </c>
      <c r="J35" s="1">
        <v>513579.47593387502</v>
      </c>
      <c r="L35">
        <v>3916</v>
      </c>
      <c r="O35">
        <v>933</v>
      </c>
      <c r="R35">
        <v>142</v>
      </c>
      <c r="U35">
        <v>0</v>
      </c>
      <c r="V35" s="3">
        <v>0</v>
      </c>
      <c r="W35" s="3">
        <v>3.0054000000000001E-2</v>
      </c>
      <c r="X35" s="3">
        <v>2.7449000000000001E-2</v>
      </c>
      <c r="Y35" s="3">
        <v>0</v>
      </c>
      <c r="Z35" s="3">
        <v>0</v>
      </c>
      <c r="AA35" s="3">
        <v>0.79620999999999997</v>
      </c>
      <c r="AB35" s="3">
        <v>0.75085900000000005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17">
        <v>17.445035499999999</v>
      </c>
      <c r="AJ35" s="17">
        <v>41.04</v>
      </c>
      <c r="AL35" s="17">
        <v>181</v>
      </c>
      <c r="AM35">
        <v>0.4587</v>
      </c>
      <c r="AN35" s="10">
        <v>4331986144.2200003</v>
      </c>
      <c r="AO35" s="30">
        <f>tPanel_Export[[#This Row],[ASP_D_COUNT_PLAN]]+tPanel_Export[[#This Row],[C2C_COUNT_PLAN]]</f>
        <v>0</v>
      </c>
      <c r="AP35" s="30">
        <f>tPanel_Export[[#This Row],[ASP_D_COUNT_FACT]]+tPanel_Export[[#This Row],[C2C_COUNT_FACT]]</f>
        <v>142</v>
      </c>
      <c r="AQ35" s="1">
        <f>tPanel_Export[[#This Row],[MEDIUM_CHECK]]*tPanel_Export[[#This Row],[TOTAL_COUNT_FACT]]</f>
        <v>2656233049.5300016</v>
      </c>
      <c r="AR35" s="10">
        <f>YEAR(tPanel_Export[[#This Row],[DATE_TO]])</f>
        <v>2015</v>
      </c>
      <c r="AS35" s="1">
        <f>MONTH(tPanel_Export[[#This Row],[DATE_TO]])</f>
        <v>12</v>
      </c>
      <c r="AT3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5" s="1">
        <f>tPanel_Export[[#This Row],[STAVKAGP]]*tPanel_Export[[#This Row],[TOTAL_SUM_FACT]]</f>
        <v>46338079845.324112</v>
      </c>
      <c r="AV35" s="1">
        <f>tPanel_Export[[#This Row],[SROKKRED]]*tPanel_Export[[#This Row],[TOTAL_SUM_FACT]]</f>
        <v>109011804352.71121</v>
      </c>
      <c r="AW35" s="1">
        <f>tPanel_Export[[#This Row],[SV_PV]]*tPanel_Export[[#This Row],[VEHICLE_COST_RUR_AMT]]</f>
        <v>1987082044.353714</v>
      </c>
      <c r="AX35" s="1">
        <f>tPanel_Export[[#This Row],[VKASKO_PENET_SHT]]*tPanel_Export[[#This Row],[TOTAL_COUNT_FACT]]</f>
        <v>155.439288</v>
      </c>
      <c r="AY35" s="1">
        <f>tPanel_Export[[#This Row],[VKASKO_PENET_RUB]]*tPanel_Export[[#This Row],[TOTAL_SUM_FACT]]</f>
        <v>72910940.976548985</v>
      </c>
      <c r="AZ35" s="1">
        <f>tPanel_Export[[#This Row],[MKASKO_PENET_SHT]]*tPanel_Export[[#This Row],[TOTAL_COUNT_FACT]]</f>
        <v>0</v>
      </c>
      <c r="BA35" s="1">
        <f>tPanel_Export[[#This Row],[MKASKO_PENET_RUB]]*tPanel_Export[[#This Row],[TOTAL_SUM_FACT]]</f>
        <v>0</v>
      </c>
      <c r="BB35" s="1">
        <f>tPanel_Export[[#This Row],[SJ_PENET_SHT]]*tPanel_Export[[#This Row],[TOTAL_COUNT_FACT]]</f>
        <v>4117.9981200000002</v>
      </c>
      <c r="BC35" s="1">
        <f>tPanel_Export[[#This Row],[SJ_PENET_RUB]]*tPanel_Export[[#This Row],[TOTAL_SUM_FACT]]</f>
        <v>1994456491.3370466</v>
      </c>
      <c r="BD35" s="1">
        <f>tPanel_Export[[#This Row],[DKASKO_PENET_SHT]]*tPanel_Export[[#This Row],[TOTAL_COUNT_FACT]]</f>
        <v>0</v>
      </c>
      <c r="BE35" s="1">
        <f>tPanel_Export[[#This Row],[DKASKO_PENET_RUB]]*tPanel_Export[[#This Row],[TOTAL_SUM_FACT]]</f>
        <v>0</v>
      </c>
      <c r="BF35" s="1">
        <f>tPanel_Export[[#This Row],[RAMK_PENET_SHT]]*tPanel_Export[[#This Row],[TOTAL_COUNT_FACT]]</f>
        <v>0</v>
      </c>
      <c r="BG35" s="1">
        <f>tPanel_Export[[#This Row],[RAMK_PENET_RUB]]*tPanel_Export[[#This Row],[TOTAL_SUM_FACT]]</f>
        <v>0</v>
      </c>
      <c r="BH35" s="1">
        <f>tPanel_Export[[#This Row],[AVL_PENET_SHT]]*tPanel_Export[[#This Row],[TOTAL_COUNT_FACT]]</f>
        <v>0</v>
      </c>
      <c r="BI35" s="1">
        <f>tPanel_Export[[#This Row],[AVL_PENET_RUB]]*tPanel_Export[[#This Row],[TOTAL_SUM_FACT]]</f>
        <v>0</v>
      </c>
      <c r="BJ35" s="1">
        <f>1</f>
        <v>1</v>
      </c>
      <c r="BK35" s="32">
        <f>IFERROR(IF(VLOOKUP(tPanel_Export[[#This Row],[DATE_TO]],Extra2!A:C,3,0)="месяц закрыт",1,$BR$1),1)</f>
        <v>1</v>
      </c>
      <c r="BL35" s="1" t="str">
        <f>VLOOKUP(tPanel_Export[[#This Row],[MAK]],Curators!A:B,2,0)</f>
        <v>Швейцаров</v>
      </c>
    </row>
    <row r="36" spans="1:64" x14ac:dyDescent="0.25">
      <c r="A36" s="5">
        <v>42005</v>
      </c>
      <c r="B36" s="5">
        <v>42369</v>
      </c>
      <c r="C36" t="s">
        <v>54</v>
      </c>
      <c r="E36">
        <v>1000</v>
      </c>
      <c r="H36" s="1">
        <v>551489257.24000001</v>
      </c>
      <c r="J36" s="1">
        <v>551489.25723999995</v>
      </c>
      <c r="L36">
        <v>674</v>
      </c>
      <c r="O36">
        <v>204</v>
      </c>
      <c r="R36">
        <v>28</v>
      </c>
      <c r="U36">
        <v>0</v>
      </c>
      <c r="V36" s="3">
        <v>0</v>
      </c>
      <c r="W36" s="3">
        <v>3.6423999999999998E-2</v>
      </c>
      <c r="X36" s="3">
        <v>2.8559999999999999E-2</v>
      </c>
      <c r="Y36" s="3">
        <v>0</v>
      </c>
      <c r="Z36" s="3">
        <v>0</v>
      </c>
      <c r="AA36" s="3">
        <v>0.73199999999999998</v>
      </c>
      <c r="AB36" s="3">
        <v>0.66075600000000001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17">
        <v>17.815799500000001</v>
      </c>
      <c r="AJ36" s="17">
        <v>42.5</v>
      </c>
      <c r="AL36" s="17">
        <v>94</v>
      </c>
      <c r="AM36">
        <v>0.41139999999999999</v>
      </c>
      <c r="AN36" s="10">
        <v>843976370.66999996</v>
      </c>
      <c r="AO36" s="30">
        <f>tPanel_Export[[#This Row],[ASP_D_COUNT_PLAN]]+tPanel_Export[[#This Row],[C2C_COUNT_PLAN]]</f>
        <v>0</v>
      </c>
      <c r="AP36" s="30">
        <f>tPanel_Export[[#This Row],[ASP_D_COUNT_FACT]]+tPanel_Export[[#This Row],[C2C_COUNT_FACT]]</f>
        <v>28</v>
      </c>
      <c r="AQ36" s="1">
        <f>tPanel_Export[[#This Row],[MEDIUM_CHECK]]*tPanel_Export[[#This Row],[TOTAL_COUNT_FACT]]</f>
        <v>551489257.23999989</v>
      </c>
      <c r="AR36" s="10">
        <f>YEAR(tPanel_Export[[#This Row],[DATE_TO]])</f>
        <v>2015</v>
      </c>
      <c r="AS36" s="1">
        <f>MONTH(tPanel_Export[[#This Row],[DATE_TO]])</f>
        <v>12</v>
      </c>
      <c r="AT36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6" s="1">
        <f>tPanel_Export[[#This Row],[STAVKAGP]]*tPanel_Export[[#This Row],[TOTAL_SUM_FACT]]</f>
        <v>9825222033.3917637</v>
      </c>
      <c r="AV36" s="1">
        <f>tPanel_Export[[#This Row],[SROKKRED]]*tPanel_Export[[#This Row],[TOTAL_SUM_FACT]]</f>
        <v>23438293432.700001</v>
      </c>
      <c r="AW36" s="1">
        <f>tPanel_Export[[#This Row],[SV_PV]]*tPanel_Export[[#This Row],[VEHICLE_COST_RUR_AMT]]</f>
        <v>347211878.89363796</v>
      </c>
      <c r="AX36" s="1">
        <f>tPanel_Export[[#This Row],[VKASKO_PENET_SHT]]*tPanel_Export[[#This Row],[TOTAL_COUNT_FACT]]</f>
        <v>36.423999999999999</v>
      </c>
      <c r="AY36" s="1">
        <f>tPanel_Export[[#This Row],[VKASKO_PENET_RUB]]*tPanel_Export[[#This Row],[TOTAL_SUM_FACT]]</f>
        <v>15750533.186774399</v>
      </c>
      <c r="AZ36" s="1">
        <f>tPanel_Export[[#This Row],[MKASKO_PENET_SHT]]*tPanel_Export[[#This Row],[TOTAL_COUNT_FACT]]</f>
        <v>0</v>
      </c>
      <c r="BA36" s="1">
        <f>tPanel_Export[[#This Row],[MKASKO_PENET_RUB]]*tPanel_Export[[#This Row],[TOTAL_SUM_FACT]]</f>
        <v>0</v>
      </c>
      <c r="BB36" s="1">
        <f>tPanel_Export[[#This Row],[SJ_PENET_SHT]]*tPanel_Export[[#This Row],[TOTAL_COUNT_FACT]]</f>
        <v>732</v>
      </c>
      <c r="BC36" s="1">
        <f>tPanel_Export[[#This Row],[SJ_PENET_RUB]]*tPanel_Export[[#This Row],[TOTAL_SUM_FACT]]</f>
        <v>364399835.65687346</v>
      </c>
      <c r="BD36" s="1">
        <f>tPanel_Export[[#This Row],[DKASKO_PENET_SHT]]*tPanel_Export[[#This Row],[TOTAL_COUNT_FACT]]</f>
        <v>0</v>
      </c>
      <c r="BE36" s="1">
        <f>tPanel_Export[[#This Row],[DKASKO_PENET_RUB]]*tPanel_Export[[#This Row],[TOTAL_SUM_FACT]]</f>
        <v>0</v>
      </c>
      <c r="BF36" s="1">
        <f>tPanel_Export[[#This Row],[RAMK_PENET_SHT]]*tPanel_Export[[#This Row],[TOTAL_COUNT_FACT]]</f>
        <v>0</v>
      </c>
      <c r="BG36" s="1">
        <f>tPanel_Export[[#This Row],[RAMK_PENET_RUB]]*tPanel_Export[[#This Row],[TOTAL_SUM_FACT]]</f>
        <v>0</v>
      </c>
      <c r="BH36" s="1">
        <f>tPanel_Export[[#This Row],[AVL_PENET_SHT]]*tPanel_Export[[#This Row],[TOTAL_COUNT_FACT]]</f>
        <v>0</v>
      </c>
      <c r="BI36" s="1">
        <f>tPanel_Export[[#This Row],[AVL_PENET_RUB]]*tPanel_Export[[#This Row],[TOTAL_SUM_FACT]]</f>
        <v>0</v>
      </c>
      <c r="BJ36" s="1">
        <f>1</f>
        <v>1</v>
      </c>
      <c r="BK36" s="32">
        <f>IFERROR(IF(VLOOKUP(tPanel_Export[[#This Row],[DATE_TO]],Extra2!A:C,3,0)="месяц закрыт",1,$BR$1),1)</f>
        <v>1</v>
      </c>
      <c r="BL36" s="1" t="str">
        <f>VLOOKUP(tPanel_Export[[#This Row],[MAK]],Curators!A:B,2,0)</f>
        <v>Кашин</v>
      </c>
    </row>
    <row r="37" spans="1:64" x14ac:dyDescent="0.25">
      <c r="A37" s="5">
        <v>42005</v>
      </c>
      <c r="B37" s="5">
        <v>42369</v>
      </c>
      <c r="C37" t="s">
        <v>57</v>
      </c>
      <c r="E37">
        <v>1975</v>
      </c>
      <c r="H37" s="1">
        <v>534698801.12</v>
      </c>
      <c r="J37" s="1">
        <v>270733.570187342</v>
      </c>
      <c r="L37">
        <v>1557</v>
      </c>
      <c r="O37">
        <v>104</v>
      </c>
      <c r="R37">
        <v>10</v>
      </c>
      <c r="U37">
        <v>0</v>
      </c>
      <c r="V37" s="3">
        <v>0</v>
      </c>
      <c r="W37" s="3">
        <v>5.9800000000000001E-4</v>
      </c>
      <c r="X37" s="3">
        <v>5.8900000000000001E-4</v>
      </c>
      <c r="Y37" s="3">
        <v>0</v>
      </c>
      <c r="Z37" s="3">
        <v>0</v>
      </c>
      <c r="AA37" s="3">
        <v>0.75038000000000005</v>
      </c>
      <c r="AB37" s="3">
        <v>0.63935200000000003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17">
        <v>18.493300699999999</v>
      </c>
      <c r="AJ37" s="17">
        <v>39.200000000000003</v>
      </c>
      <c r="AL37" s="17">
        <v>304</v>
      </c>
      <c r="AM37">
        <v>0.4607</v>
      </c>
      <c r="AN37" s="10">
        <v>899066458.50999999</v>
      </c>
      <c r="AO37" s="30">
        <f>tPanel_Export[[#This Row],[ASP_D_COUNT_PLAN]]+tPanel_Export[[#This Row],[C2C_COUNT_PLAN]]</f>
        <v>0</v>
      </c>
      <c r="AP37" s="30">
        <f>tPanel_Export[[#This Row],[ASP_D_COUNT_FACT]]+tPanel_Export[[#This Row],[C2C_COUNT_FACT]]</f>
        <v>10</v>
      </c>
      <c r="AQ37" s="1">
        <f>tPanel_Export[[#This Row],[MEDIUM_CHECK]]*tPanel_Export[[#This Row],[TOTAL_COUNT_FACT]]</f>
        <v>534698801.12000048</v>
      </c>
      <c r="AR37" s="10">
        <f>YEAR(tPanel_Export[[#This Row],[DATE_TO]])</f>
        <v>2015</v>
      </c>
      <c r="AS37" s="1">
        <f>MONTH(tPanel_Export[[#This Row],[DATE_TO]])</f>
        <v>12</v>
      </c>
      <c r="AT37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7" s="1">
        <f>tPanel_Export[[#This Row],[STAVKAGP]]*tPanel_Export[[#This Row],[TOTAL_SUM_FACT]]</f>
        <v>9888345713.0416565</v>
      </c>
      <c r="AV37" s="1">
        <f>tPanel_Export[[#This Row],[SROKKRED]]*tPanel_Export[[#This Row],[TOTAL_SUM_FACT]]</f>
        <v>20960193003.904003</v>
      </c>
      <c r="AW37" s="1">
        <f>tPanel_Export[[#This Row],[SV_PV]]*tPanel_Export[[#This Row],[VEHICLE_COST_RUR_AMT]]</f>
        <v>414199917.43555701</v>
      </c>
      <c r="AX37" s="1">
        <f>tPanel_Export[[#This Row],[VKASKO_PENET_SHT]]*tPanel_Export[[#This Row],[TOTAL_COUNT_FACT]]</f>
        <v>1.1810499999999999</v>
      </c>
      <c r="AY37" s="1">
        <f>tPanel_Export[[#This Row],[VKASKO_PENET_RUB]]*tPanel_Export[[#This Row],[TOTAL_SUM_FACT]]</f>
        <v>314937.59385968</v>
      </c>
      <c r="AZ37" s="1">
        <f>tPanel_Export[[#This Row],[MKASKO_PENET_SHT]]*tPanel_Export[[#This Row],[TOTAL_COUNT_FACT]]</f>
        <v>0</v>
      </c>
      <c r="BA37" s="1">
        <f>tPanel_Export[[#This Row],[MKASKO_PENET_RUB]]*tPanel_Export[[#This Row],[TOTAL_SUM_FACT]]</f>
        <v>0</v>
      </c>
      <c r="BB37" s="1">
        <f>tPanel_Export[[#This Row],[SJ_PENET_SHT]]*tPanel_Export[[#This Row],[TOTAL_COUNT_FACT]]</f>
        <v>1482.0005000000001</v>
      </c>
      <c r="BC37" s="1">
        <f>tPanel_Export[[#This Row],[SJ_PENET_RUB]]*tPanel_Export[[#This Row],[TOTAL_SUM_FACT]]</f>
        <v>341860747.89367425</v>
      </c>
      <c r="BD37" s="1">
        <f>tPanel_Export[[#This Row],[DKASKO_PENET_SHT]]*tPanel_Export[[#This Row],[TOTAL_COUNT_FACT]]</f>
        <v>0</v>
      </c>
      <c r="BE37" s="1">
        <f>tPanel_Export[[#This Row],[DKASKO_PENET_RUB]]*tPanel_Export[[#This Row],[TOTAL_SUM_FACT]]</f>
        <v>0</v>
      </c>
      <c r="BF37" s="1">
        <f>tPanel_Export[[#This Row],[RAMK_PENET_SHT]]*tPanel_Export[[#This Row],[TOTAL_COUNT_FACT]]</f>
        <v>0</v>
      </c>
      <c r="BG37" s="1">
        <f>tPanel_Export[[#This Row],[RAMK_PENET_RUB]]*tPanel_Export[[#This Row],[TOTAL_SUM_FACT]]</f>
        <v>0</v>
      </c>
      <c r="BH37" s="1">
        <f>tPanel_Export[[#This Row],[AVL_PENET_SHT]]*tPanel_Export[[#This Row],[TOTAL_COUNT_FACT]]</f>
        <v>0</v>
      </c>
      <c r="BI37" s="1">
        <f>tPanel_Export[[#This Row],[AVL_PENET_RUB]]*tPanel_Export[[#This Row],[TOTAL_SUM_FACT]]</f>
        <v>0</v>
      </c>
      <c r="BJ37" s="1">
        <f>1</f>
        <v>1</v>
      </c>
      <c r="BK37" s="32">
        <f>IFERROR(IF(VLOOKUP(tPanel_Export[[#This Row],[DATE_TO]],Extra2!A:C,3,0)="месяц закрыт",1,$BR$1),1)</f>
        <v>1</v>
      </c>
      <c r="BL37" s="1" t="str">
        <f>VLOOKUP(tPanel_Export[[#This Row],[MAK]],Curators!A:B,2,0)</f>
        <v>Кашин</v>
      </c>
    </row>
    <row r="38" spans="1:64" x14ac:dyDescent="0.25">
      <c r="A38" s="5">
        <v>42005</v>
      </c>
      <c r="B38" s="5">
        <v>42369</v>
      </c>
      <c r="C38" t="s">
        <v>53</v>
      </c>
      <c r="E38">
        <v>311</v>
      </c>
      <c r="H38" s="1">
        <v>124586635.45999999</v>
      </c>
      <c r="J38" s="1">
        <v>400600.11401929299</v>
      </c>
      <c r="L38">
        <v>231</v>
      </c>
      <c r="O38">
        <v>57</v>
      </c>
      <c r="R38">
        <v>10</v>
      </c>
      <c r="U38">
        <v>0</v>
      </c>
      <c r="V38" s="3">
        <v>0</v>
      </c>
      <c r="W38" s="3">
        <v>6.711E-3</v>
      </c>
      <c r="X38" s="3">
        <v>6.2550000000000001E-3</v>
      </c>
      <c r="Y38" s="3">
        <v>0</v>
      </c>
      <c r="Z38" s="3">
        <v>0</v>
      </c>
      <c r="AA38" s="3">
        <v>0.67845699999999998</v>
      </c>
      <c r="AB38" s="3">
        <v>0.61502100000000004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17">
        <v>18.7404914</v>
      </c>
      <c r="AJ38" s="17">
        <v>44.53</v>
      </c>
      <c r="AL38" s="17">
        <v>13</v>
      </c>
      <c r="AM38">
        <v>0.44590000000000002</v>
      </c>
      <c r="AN38" s="10">
        <v>203940092.78999999</v>
      </c>
      <c r="AO38" s="30">
        <f>tPanel_Export[[#This Row],[ASP_D_COUNT_PLAN]]+tPanel_Export[[#This Row],[C2C_COUNT_PLAN]]</f>
        <v>0</v>
      </c>
      <c r="AP38" s="30">
        <f>tPanel_Export[[#This Row],[ASP_D_COUNT_FACT]]+tPanel_Export[[#This Row],[C2C_COUNT_FACT]]</f>
        <v>10</v>
      </c>
      <c r="AQ38" s="1">
        <f>tPanel_Export[[#This Row],[MEDIUM_CHECK]]*tPanel_Export[[#This Row],[TOTAL_COUNT_FACT]]</f>
        <v>124586635.46000011</v>
      </c>
      <c r="AR38" s="10">
        <f>YEAR(tPanel_Export[[#This Row],[DATE_TO]])</f>
        <v>2015</v>
      </c>
      <c r="AS38" s="1">
        <f>MONTH(tPanel_Export[[#This Row],[DATE_TO]])</f>
        <v>12</v>
      </c>
      <c r="AT38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8" s="1">
        <f>tPanel_Export[[#This Row],[STAVKAGP]]*tPanel_Export[[#This Row],[TOTAL_SUM_FACT]]</f>
        <v>2334814770.393065</v>
      </c>
      <c r="AV38" s="1">
        <f>tPanel_Export[[#This Row],[SROKKRED]]*tPanel_Export[[#This Row],[TOTAL_SUM_FACT]]</f>
        <v>5547842877.0338001</v>
      </c>
      <c r="AW38" s="1">
        <f>tPanel_Export[[#This Row],[SV_PV]]*tPanel_Export[[#This Row],[VEHICLE_COST_RUR_AMT]]</f>
        <v>90936887.375061005</v>
      </c>
      <c r="AX38" s="1">
        <f>tPanel_Export[[#This Row],[VKASKO_PENET_SHT]]*tPanel_Export[[#This Row],[TOTAL_COUNT_FACT]]</f>
        <v>2.0871209999999998</v>
      </c>
      <c r="AY38" s="1">
        <f>tPanel_Export[[#This Row],[VKASKO_PENET_RUB]]*tPanel_Export[[#This Row],[TOTAL_SUM_FACT]]</f>
        <v>779289.40480229992</v>
      </c>
      <c r="AZ38" s="1">
        <f>tPanel_Export[[#This Row],[MKASKO_PENET_SHT]]*tPanel_Export[[#This Row],[TOTAL_COUNT_FACT]]</f>
        <v>0</v>
      </c>
      <c r="BA38" s="1">
        <f>tPanel_Export[[#This Row],[MKASKO_PENET_RUB]]*tPanel_Export[[#This Row],[TOTAL_SUM_FACT]]</f>
        <v>0</v>
      </c>
      <c r="BB38" s="1">
        <f>tPanel_Export[[#This Row],[SJ_PENET_SHT]]*tPanel_Export[[#This Row],[TOTAL_COUNT_FACT]]</f>
        <v>211.00012699999999</v>
      </c>
      <c r="BC38" s="1">
        <f>tPanel_Export[[#This Row],[SJ_PENET_RUB]]*tPanel_Export[[#This Row],[TOTAL_SUM_FACT]]</f>
        <v>76623397.127244666</v>
      </c>
      <c r="BD38" s="1">
        <f>tPanel_Export[[#This Row],[DKASKO_PENET_SHT]]*tPanel_Export[[#This Row],[TOTAL_COUNT_FACT]]</f>
        <v>0</v>
      </c>
      <c r="BE38" s="1">
        <f>tPanel_Export[[#This Row],[DKASKO_PENET_RUB]]*tPanel_Export[[#This Row],[TOTAL_SUM_FACT]]</f>
        <v>0</v>
      </c>
      <c r="BF38" s="1">
        <f>tPanel_Export[[#This Row],[RAMK_PENET_SHT]]*tPanel_Export[[#This Row],[TOTAL_COUNT_FACT]]</f>
        <v>0</v>
      </c>
      <c r="BG38" s="1">
        <f>tPanel_Export[[#This Row],[RAMK_PENET_RUB]]*tPanel_Export[[#This Row],[TOTAL_SUM_FACT]]</f>
        <v>0</v>
      </c>
      <c r="BH38" s="1">
        <f>tPanel_Export[[#This Row],[AVL_PENET_SHT]]*tPanel_Export[[#This Row],[TOTAL_COUNT_FACT]]</f>
        <v>0</v>
      </c>
      <c r="BI38" s="1">
        <f>tPanel_Export[[#This Row],[AVL_PENET_RUB]]*tPanel_Export[[#This Row],[TOTAL_SUM_FACT]]</f>
        <v>0</v>
      </c>
      <c r="BJ38" s="1">
        <f>1</f>
        <v>1</v>
      </c>
      <c r="BK38" s="32">
        <f>IFERROR(IF(VLOOKUP(tPanel_Export[[#This Row],[DATE_TO]],Extra2!A:C,3,0)="месяц закрыт",1,$BR$1),1)</f>
        <v>1</v>
      </c>
      <c r="BL38" s="1" t="str">
        <f>VLOOKUP(tPanel_Export[[#This Row],[MAK]],Curators!A:B,2,0)</f>
        <v>Чаусов</v>
      </c>
    </row>
    <row r="39" spans="1:64" x14ac:dyDescent="0.25">
      <c r="A39" s="5">
        <v>42005</v>
      </c>
      <c r="B39" s="5">
        <v>42369</v>
      </c>
      <c r="C39" t="s">
        <v>41</v>
      </c>
      <c r="E39">
        <v>712</v>
      </c>
      <c r="H39" s="1">
        <v>247194319.37</v>
      </c>
      <c r="J39" s="1">
        <v>347183.03282303398</v>
      </c>
      <c r="L39">
        <v>607</v>
      </c>
      <c r="O39">
        <v>85</v>
      </c>
      <c r="R39">
        <v>2</v>
      </c>
      <c r="U39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0.72612399999999999</v>
      </c>
      <c r="AB39" s="3">
        <v>0.66636799999999996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17">
        <v>18.6644763</v>
      </c>
      <c r="AJ39" s="17">
        <v>40.1</v>
      </c>
      <c r="AL39" s="17">
        <v>18</v>
      </c>
      <c r="AM39">
        <v>0.4405</v>
      </c>
      <c r="AN39" s="10">
        <v>402305276.92000002</v>
      </c>
      <c r="AO39" s="30">
        <f>tPanel_Export[[#This Row],[ASP_D_COUNT_PLAN]]+tPanel_Export[[#This Row],[C2C_COUNT_PLAN]]</f>
        <v>0</v>
      </c>
      <c r="AP39" s="30">
        <f>tPanel_Export[[#This Row],[ASP_D_COUNT_FACT]]+tPanel_Export[[#This Row],[C2C_COUNT_FACT]]</f>
        <v>2</v>
      </c>
      <c r="AQ39" s="1">
        <f>tPanel_Export[[#This Row],[MEDIUM_CHECK]]*tPanel_Export[[#This Row],[TOTAL_COUNT_FACT]]</f>
        <v>247194319.37000018</v>
      </c>
      <c r="AR39" s="10">
        <f>YEAR(tPanel_Export[[#This Row],[DATE_TO]])</f>
        <v>2015</v>
      </c>
      <c r="AS39" s="1">
        <f>MONTH(tPanel_Export[[#This Row],[DATE_TO]])</f>
        <v>12</v>
      </c>
      <c r="AT39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39" s="1">
        <f>tPanel_Export[[#This Row],[STAVKAGP]]*tPanel_Export[[#This Row],[TOTAL_SUM_FACT]]</f>
        <v>4613752515.3759966</v>
      </c>
      <c r="AV39" s="1">
        <f>tPanel_Export[[#This Row],[SROKKRED]]*tPanel_Export[[#This Row],[TOTAL_SUM_FACT]]</f>
        <v>9912492206.7370014</v>
      </c>
      <c r="AW39" s="1">
        <f>tPanel_Export[[#This Row],[SV_PV]]*tPanel_Export[[#This Row],[VEHICLE_COST_RUR_AMT]]</f>
        <v>177215474.48326001</v>
      </c>
      <c r="AX39" s="1">
        <f>tPanel_Export[[#This Row],[VKASKO_PENET_SHT]]*tPanel_Export[[#This Row],[TOTAL_COUNT_FACT]]</f>
        <v>0</v>
      </c>
      <c r="AY39" s="1">
        <f>tPanel_Export[[#This Row],[VKASKO_PENET_RUB]]*tPanel_Export[[#This Row],[TOTAL_SUM_FACT]]</f>
        <v>0</v>
      </c>
      <c r="AZ39" s="1">
        <f>tPanel_Export[[#This Row],[MKASKO_PENET_SHT]]*tPanel_Export[[#This Row],[TOTAL_COUNT_FACT]]</f>
        <v>0</v>
      </c>
      <c r="BA39" s="1">
        <f>tPanel_Export[[#This Row],[MKASKO_PENET_RUB]]*tPanel_Export[[#This Row],[TOTAL_SUM_FACT]]</f>
        <v>0</v>
      </c>
      <c r="BB39" s="1">
        <f>tPanel_Export[[#This Row],[SJ_PENET_SHT]]*tPanel_Export[[#This Row],[TOTAL_COUNT_FACT]]</f>
        <v>517.00028799999995</v>
      </c>
      <c r="BC39" s="1">
        <f>tPanel_Export[[#This Row],[SJ_PENET_RUB]]*tPanel_Export[[#This Row],[TOTAL_SUM_FACT]]</f>
        <v>164722384.20994815</v>
      </c>
      <c r="BD39" s="1">
        <f>tPanel_Export[[#This Row],[DKASKO_PENET_SHT]]*tPanel_Export[[#This Row],[TOTAL_COUNT_FACT]]</f>
        <v>0</v>
      </c>
      <c r="BE39" s="1">
        <f>tPanel_Export[[#This Row],[DKASKO_PENET_RUB]]*tPanel_Export[[#This Row],[TOTAL_SUM_FACT]]</f>
        <v>0</v>
      </c>
      <c r="BF39" s="1">
        <f>tPanel_Export[[#This Row],[RAMK_PENET_SHT]]*tPanel_Export[[#This Row],[TOTAL_COUNT_FACT]]</f>
        <v>0</v>
      </c>
      <c r="BG39" s="1">
        <f>tPanel_Export[[#This Row],[RAMK_PENET_RUB]]*tPanel_Export[[#This Row],[TOTAL_SUM_FACT]]</f>
        <v>0</v>
      </c>
      <c r="BH39" s="1">
        <f>tPanel_Export[[#This Row],[AVL_PENET_SHT]]*tPanel_Export[[#This Row],[TOTAL_COUNT_FACT]]</f>
        <v>0</v>
      </c>
      <c r="BI39" s="1">
        <f>tPanel_Export[[#This Row],[AVL_PENET_RUB]]*tPanel_Export[[#This Row],[TOTAL_SUM_FACT]]</f>
        <v>0</v>
      </c>
      <c r="BJ39" s="1">
        <f>1</f>
        <v>1</v>
      </c>
      <c r="BK39" s="32">
        <f>IFERROR(IF(VLOOKUP(tPanel_Export[[#This Row],[DATE_TO]],Extra2!A:C,3,0)="месяц закрыт",1,$BR$1),1)</f>
        <v>1</v>
      </c>
      <c r="BL39" s="1" t="str">
        <f>VLOOKUP(tPanel_Export[[#This Row],[MAK]],Curators!A:B,2,0)</f>
        <v>Швейцаров</v>
      </c>
    </row>
    <row r="40" spans="1:64" x14ac:dyDescent="0.25">
      <c r="A40" s="5">
        <v>42005</v>
      </c>
      <c r="B40" s="5">
        <v>42369</v>
      </c>
      <c r="C40" t="s">
        <v>51</v>
      </c>
      <c r="E40">
        <v>643</v>
      </c>
      <c r="H40" s="1">
        <v>353439507.44999999</v>
      </c>
      <c r="J40" s="1">
        <v>549672.63989113504</v>
      </c>
      <c r="L40">
        <v>439</v>
      </c>
      <c r="O40">
        <v>140</v>
      </c>
      <c r="R40">
        <v>26</v>
      </c>
      <c r="U40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0.69984400000000002</v>
      </c>
      <c r="AB40" s="3">
        <v>0.47759699999999999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17">
        <v>18.430567100000001</v>
      </c>
      <c r="AJ40" s="17">
        <v>45.19</v>
      </c>
      <c r="AL40" s="17">
        <v>38</v>
      </c>
      <c r="AM40">
        <v>0.41120000000000001</v>
      </c>
      <c r="AN40" s="10">
        <v>554813707.61000001</v>
      </c>
      <c r="AO40" s="30">
        <f>tPanel_Export[[#This Row],[ASP_D_COUNT_PLAN]]+tPanel_Export[[#This Row],[C2C_COUNT_PLAN]]</f>
        <v>0</v>
      </c>
      <c r="AP40" s="30">
        <f>tPanel_Export[[#This Row],[ASP_D_COUNT_FACT]]+tPanel_Export[[#This Row],[C2C_COUNT_FACT]]</f>
        <v>26</v>
      </c>
      <c r="AQ40" s="1">
        <f>tPanel_Export[[#This Row],[MEDIUM_CHECK]]*tPanel_Export[[#This Row],[TOTAL_COUNT_FACT]]</f>
        <v>353439507.44999981</v>
      </c>
      <c r="AR40" s="10">
        <f>YEAR(tPanel_Export[[#This Row],[DATE_TO]])</f>
        <v>2015</v>
      </c>
      <c r="AS40" s="1">
        <f>MONTH(tPanel_Export[[#This Row],[DATE_TO]])</f>
        <v>12</v>
      </c>
      <c r="AT40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0" s="1">
        <f>tPanel_Export[[#This Row],[STAVKAGP]]*tPanel_Export[[#This Row],[TOTAL_SUM_FACT]]</f>
        <v>6514090557.848175</v>
      </c>
      <c r="AV40" s="1">
        <f>tPanel_Export[[#This Row],[SROKKRED]]*tPanel_Export[[#This Row],[TOTAL_SUM_FACT]]</f>
        <v>15971931341.665499</v>
      </c>
      <c r="AW40" s="1">
        <f>tPanel_Export[[#This Row],[SV_PV]]*tPanel_Export[[#This Row],[VEHICLE_COST_RUR_AMT]]</f>
        <v>228139396.56923202</v>
      </c>
      <c r="AX40" s="1">
        <f>tPanel_Export[[#This Row],[VKASKO_PENET_SHT]]*tPanel_Export[[#This Row],[TOTAL_COUNT_FACT]]</f>
        <v>0</v>
      </c>
      <c r="AY40" s="1">
        <f>tPanel_Export[[#This Row],[VKASKO_PENET_RUB]]*tPanel_Export[[#This Row],[TOTAL_SUM_FACT]]</f>
        <v>0</v>
      </c>
      <c r="AZ40" s="1">
        <f>tPanel_Export[[#This Row],[MKASKO_PENET_SHT]]*tPanel_Export[[#This Row],[TOTAL_COUNT_FACT]]</f>
        <v>0</v>
      </c>
      <c r="BA40" s="1">
        <f>tPanel_Export[[#This Row],[MKASKO_PENET_RUB]]*tPanel_Export[[#This Row],[TOTAL_SUM_FACT]]</f>
        <v>0</v>
      </c>
      <c r="BB40" s="1">
        <f>tPanel_Export[[#This Row],[SJ_PENET_SHT]]*tPanel_Export[[#This Row],[TOTAL_COUNT_FACT]]</f>
        <v>449.99969200000004</v>
      </c>
      <c r="BC40" s="1">
        <f>tPanel_Export[[#This Row],[SJ_PENET_RUB]]*tPanel_Export[[#This Row],[TOTAL_SUM_FACT]]</f>
        <v>168801648.43959764</v>
      </c>
      <c r="BD40" s="1">
        <f>tPanel_Export[[#This Row],[DKASKO_PENET_SHT]]*tPanel_Export[[#This Row],[TOTAL_COUNT_FACT]]</f>
        <v>0</v>
      </c>
      <c r="BE40" s="1">
        <f>tPanel_Export[[#This Row],[DKASKO_PENET_RUB]]*tPanel_Export[[#This Row],[TOTAL_SUM_FACT]]</f>
        <v>0</v>
      </c>
      <c r="BF40" s="1">
        <f>tPanel_Export[[#This Row],[RAMK_PENET_SHT]]*tPanel_Export[[#This Row],[TOTAL_COUNT_FACT]]</f>
        <v>0</v>
      </c>
      <c r="BG40" s="1">
        <f>tPanel_Export[[#This Row],[RAMK_PENET_RUB]]*tPanel_Export[[#This Row],[TOTAL_SUM_FACT]]</f>
        <v>0</v>
      </c>
      <c r="BH40" s="1">
        <f>tPanel_Export[[#This Row],[AVL_PENET_SHT]]*tPanel_Export[[#This Row],[TOTAL_COUNT_FACT]]</f>
        <v>0</v>
      </c>
      <c r="BI40" s="1">
        <f>tPanel_Export[[#This Row],[AVL_PENET_RUB]]*tPanel_Export[[#This Row],[TOTAL_SUM_FACT]]</f>
        <v>0</v>
      </c>
      <c r="BJ40" s="1">
        <f>1</f>
        <v>1</v>
      </c>
      <c r="BK40" s="32">
        <f>IFERROR(IF(VLOOKUP(tPanel_Export[[#This Row],[DATE_TO]],Extra2!A:C,3,0)="месяц закрыт",1,$BR$1),1)</f>
        <v>1</v>
      </c>
      <c r="BL40" s="1" t="str">
        <f>VLOOKUP(tPanel_Export[[#This Row],[MAK]],Curators!A:B,2,0)</f>
        <v>Швейцаров</v>
      </c>
    </row>
    <row r="41" spans="1:64" x14ac:dyDescent="0.25">
      <c r="A41" s="5">
        <v>42005</v>
      </c>
      <c r="B41" s="5">
        <v>42369</v>
      </c>
      <c r="C41" t="s">
        <v>8</v>
      </c>
      <c r="E41">
        <v>250</v>
      </c>
      <c r="H41" s="1">
        <v>106507274.5</v>
      </c>
      <c r="J41" s="1">
        <v>426029.098</v>
      </c>
      <c r="L41">
        <v>142</v>
      </c>
      <c r="O41">
        <v>91</v>
      </c>
      <c r="R41">
        <v>6</v>
      </c>
      <c r="U41">
        <v>0</v>
      </c>
      <c r="V41" s="3">
        <v>0</v>
      </c>
      <c r="W41" s="3">
        <v>5.0208999999999997E-2</v>
      </c>
      <c r="X41" s="3">
        <v>4.6385999999999997E-2</v>
      </c>
      <c r="Y41" s="3">
        <v>0</v>
      </c>
      <c r="Z41" s="3">
        <v>0</v>
      </c>
      <c r="AA41" s="3">
        <v>0.69199999999999995</v>
      </c>
      <c r="AB41" s="3">
        <v>0.594495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17">
        <v>18.7228189</v>
      </c>
      <c r="AJ41" s="17">
        <v>42.4</v>
      </c>
      <c r="AL41" s="17">
        <v>11</v>
      </c>
      <c r="AM41">
        <v>0.41739999999999999</v>
      </c>
      <c r="AN41" s="10">
        <v>168204388.00999999</v>
      </c>
      <c r="AO41" s="30">
        <f>tPanel_Export[[#This Row],[ASP_D_COUNT_PLAN]]+tPanel_Export[[#This Row],[C2C_COUNT_PLAN]]</f>
        <v>0</v>
      </c>
      <c r="AP41" s="30">
        <f>tPanel_Export[[#This Row],[ASP_D_COUNT_FACT]]+tPanel_Export[[#This Row],[C2C_COUNT_FACT]]</f>
        <v>6</v>
      </c>
      <c r="AQ41" s="1">
        <f>tPanel_Export[[#This Row],[MEDIUM_CHECK]]*tPanel_Export[[#This Row],[TOTAL_COUNT_FACT]]</f>
        <v>106507274.5</v>
      </c>
      <c r="AR41" s="10">
        <f>YEAR(tPanel_Export[[#This Row],[DATE_TO]])</f>
        <v>2015</v>
      </c>
      <c r="AS41" s="1">
        <f>MONTH(tPanel_Export[[#This Row],[DATE_TO]])</f>
        <v>12</v>
      </c>
      <c r="AT41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1" s="1">
        <f>tPanel_Export[[#This Row],[STAVKAGP]]*tPanel_Export[[#This Row],[TOTAL_SUM_FACT]]</f>
        <v>1994116411.996088</v>
      </c>
      <c r="AV41" s="1">
        <f>tPanel_Export[[#This Row],[SROKKRED]]*tPanel_Export[[#This Row],[TOTAL_SUM_FACT]]</f>
        <v>4515908438.8000002</v>
      </c>
      <c r="AW41" s="1">
        <f>tPanel_Export[[#This Row],[SV_PV]]*tPanel_Export[[#This Row],[VEHICLE_COST_RUR_AMT]]</f>
        <v>70208511.555373996</v>
      </c>
      <c r="AX41" s="1">
        <f>tPanel_Export[[#This Row],[VKASKO_PENET_SHT]]*tPanel_Export[[#This Row],[TOTAL_COUNT_FACT]]</f>
        <v>12.552249999999999</v>
      </c>
      <c r="AY41" s="1">
        <f>tPanel_Export[[#This Row],[VKASKO_PENET_RUB]]*tPanel_Export[[#This Row],[TOTAL_SUM_FACT]]</f>
        <v>4940446.4349569995</v>
      </c>
      <c r="AZ41" s="1">
        <f>tPanel_Export[[#This Row],[MKASKO_PENET_SHT]]*tPanel_Export[[#This Row],[TOTAL_COUNT_FACT]]</f>
        <v>0</v>
      </c>
      <c r="BA41" s="1">
        <f>tPanel_Export[[#This Row],[MKASKO_PENET_RUB]]*tPanel_Export[[#This Row],[TOTAL_SUM_FACT]]</f>
        <v>0</v>
      </c>
      <c r="BB41" s="1">
        <f>tPanel_Export[[#This Row],[SJ_PENET_SHT]]*tPanel_Export[[#This Row],[TOTAL_COUNT_FACT]]</f>
        <v>173</v>
      </c>
      <c r="BC41" s="1">
        <f>tPanel_Export[[#This Row],[SJ_PENET_RUB]]*tPanel_Export[[#This Row],[TOTAL_SUM_FACT]]</f>
        <v>63318042.153877497</v>
      </c>
      <c r="BD41" s="1">
        <f>tPanel_Export[[#This Row],[DKASKO_PENET_SHT]]*tPanel_Export[[#This Row],[TOTAL_COUNT_FACT]]</f>
        <v>0</v>
      </c>
      <c r="BE41" s="1">
        <f>tPanel_Export[[#This Row],[DKASKO_PENET_RUB]]*tPanel_Export[[#This Row],[TOTAL_SUM_FACT]]</f>
        <v>0</v>
      </c>
      <c r="BF41" s="1">
        <f>tPanel_Export[[#This Row],[RAMK_PENET_SHT]]*tPanel_Export[[#This Row],[TOTAL_COUNT_FACT]]</f>
        <v>0</v>
      </c>
      <c r="BG41" s="1">
        <f>tPanel_Export[[#This Row],[RAMK_PENET_RUB]]*tPanel_Export[[#This Row],[TOTAL_SUM_FACT]]</f>
        <v>0</v>
      </c>
      <c r="BH41" s="1">
        <f>tPanel_Export[[#This Row],[AVL_PENET_SHT]]*tPanel_Export[[#This Row],[TOTAL_COUNT_FACT]]</f>
        <v>0</v>
      </c>
      <c r="BI41" s="1">
        <f>tPanel_Export[[#This Row],[AVL_PENET_RUB]]*tPanel_Export[[#This Row],[TOTAL_SUM_FACT]]</f>
        <v>0</v>
      </c>
      <c r="BJ41" s="1">
        <f>1</f>
        <v>1</v>
      </c>
      <c r="BK41" s="32">
        <f>IFERROR(IF(VLOOKUP(tPanel_Export[[#This Row],[DATE_TO]],Extra2!A:C,3,0)="месяц закрыт",1,$BR$1),1)</f>
        <v>1</v>
      </c>
      <c r="BL41" s="1" t="str">
        <f>VLOOKUP(tPanel_Export[[#This Row],[MAK]],Curators!A:B,2,0)</f>
        <v>Чаусов</v>
      </c>
    </row>
    <row r="42" spans="1:64" x14ac:dyDescent="0.25">
      <c r="A42" s="5">
        <v>42005</v>
      </c>
      <c r="B42" s="5">
        <v>42369</v>
      </c>
      <c r="C42" t="s">
        <v>30</v>
      </c>
      <c r="E42">
        <v>1929</v>
      </c>
      <c r="H42" s="1">
        <v>808439123.89999998</v>
      </c>
      <c r="J42" s="1">
        <v>419097.52405391401</v>
      </c>
      <c r="L42">
        <v>1530</v>
      </c>
      <c r="O42">
        <v>231</v>
      </c>
      <c r="R42">
        <v>18</v>
      </c>
      <c r="U42">
        <v>0</v>
      </c>
      <c r="V42" s="3">
        <v>0</v>
      </c>
      <c r="W42" s="3">
        <v>8.9940000000000003E-3</v>
      </c>
      <c r="X42" s="3">
        <v>7.6800000000000002E-3</v>
      </c>
      <c r="Y42" s="3">
        <v>0</v>
      </c>
      <c r="Z42" s="3">
        <v>0</v>
      </c>
      <c r="AA42" s="3">
        <v>0.74909300000000001</v>
      </c>
      <c r="AB42" s="3">
        <v>0.69161300000000003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17">
        <v>18.295420499999999</v>
      </c>
      <c r="AJ42" s="17">
        <v>42.53</v>
      </c>
      <c r="AL42" s="17">
        <v>150</v>
      </c>
      <c r="AM42">
        <v>0.41930000000000001</v>
      </c>
      <c r="AN42" s="10">
        <v>1251525042.53</v>
      </c>
      <c r="AO42" s="30">
        <f>tPanel_Export[[#This Row],[ASP_D_COUNT_PLAN]]+tPanel_Export[[#This Row],[C2C_COUNT_PLAN]]</f>
        <v>0</v>
      </c>
      <c r="AP42" s="30">
        <f>tPanel_Export[[#This Row],[ASP_D_COUNT_FACT]]+tPanel_Export[[#This Row],[C2C_COUNT_FACT]]</f>
        <v>18</v>
      </c>
      <c r="AQ42" s="1">
        <f>tPanel_Export[[#This Row],[MEDIUM_CHECK]]*tPanel_Export[[#This Row],[TOTAL_COUNT_FACT]]</f>
        <v>808439123.9000001</v>
      </c>
      <c r="AR42" s="10">
        <f>YEAR(tPanel_Export[[#This Row],[DATE_TO]])</f>
        <v>2015</v>
      </c>
      <c r="AS42" s="1">
        <f>MONTH(tPanel_Export[[#This Row],[DATE_TO]])</f>
        <v>12</v>
      </c>
      <c r="AT4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2" s="1">
        <f>tPanel_Export[[#This Row],[STAVKAGP]]*tPanel_Export[[#This Row],[TOTAL_SUM_FACT]]</f>
        <v>14790733720.402098</v>
      </c>
      <c r="AV42" s="1">
        <f>tPanel_Export[[#This Row],[SROKKRED]]*tPanel_Export[[#This Row],[TOTAL_SUM_FACT]]</f>
        <v>34382915939.467003</v>
      </c>
      <c r="AW42" s="1">
        <f>tPanel_Export[[#This Row],[SV_PV]]*tPanel_Export[[#This Row],[VEHICLE_COST_RUR_AMT]]</f>
        <v>524764450.332829</v>
      </c>
      <c r="AX42" s="1">
        <f>tPanel_Export[[#This Row],[VKASKO_PENET_SHT]]*tPanel_Export[[#This Row],[TOTAL_COUNT_FACT]]</f>
        <v>17.349426000000001</v>
      </c>
      <c r="AY42" s="1">
        <f>tPanel_Export[[#This Row],[VKASKO_PENET_RUB]]*tPanel_Export[[#This Row],[TOTAL_SUM_FACT]]</f>
        <v>6208812.4715520004</v>
      </c>
      <c r="AZ42" s="1">
        <f>tPanel_Export[[#This Row],[MKASKO_PENET_SHT]]*tPanel_Export[[#This Row],[TOTAL_COUNT_FACT]]</f>
        <v>0</v>
      </c>
      <c r="BA42" s="1">
        <f>tPanel_Export[[#This Row],[MKASKO_PENET_RUB]]*tPanel_Export[[#This Row],[TOTAL_SUM_FACT]]</f>
        <v>0</v>
      </c>
      <c r="BB42" s="1">
        <f>tPanel_Export[[#This Row],[SJ_PENET_SHT]]*tPanel_Export[[#This Row],[TOTAL_COUNT_FACT]]</f>
        <v>1445.000397</v>
      </c>
      <c r="BC42" s="1">
        <f>tPanel_Export[[#This Row],[SJ_PENET_RUB]]*tPanel_Export[[#This Row],[TOTAL_SUM_FACT]]</f>
        <v>559127007.79785073</v>
      </c>
      <c r="BD42" s="1">
        <f>tPanel_Export[[#This Row],[DKASKO_PENET_SHT]]*tPanel_Export[[#This Row],[TOTAL_COUNT_FACT]]</f>
        <v>0</v>
      </c>
      <c r="BE42" s="1">
        <f>tPanel_Export[[#This Row],[DKASKO_PENET_RUB]]*tPanel_Export[[#This Row],[TOTAL_SUM_FACT]]</f>
        <v>0</v>
      </c>
      <c r="BF42" s="1">
        <f>tPanel_Export[[#This Row],[RAMK_PENET_SHT]]*tPanel_Export[[#This Row],[TOTAL_COUNT_FACT]]</f>
        <v>0</v>
      </c>
      <c r="BG42" s="1">
        <f>tPanel_Export[[#This Row],[RAMK_PENET_RUB]]*tPanel_Export[[#This Row],[TOTAL_SUM_FACT]]</f>
        <v>0</v>
      </c>
      <c r="BH42" s="1">
        <f>tPanel_Export[[#This Row],[AVL_PENET_SHT]]*tPanel_Export[[#This Row],[TOTAL_COUNT_FACT]]</f>
        <v>0</v>
      </c>
      <c r="BI42" s="1">
        <f>tPanel_Export[[#This Row],[AVL_PENET_RUB]]*tPanel_Export[[#This Row],[TOTAL_SUM_FACT]]</f>
        <v>0</v>
      </c>
      <c r="BJ42" s="1">
        <f>1</f>
        <v>1</v>
      </c>
      <c r="BK42" s="32">
        <f>IFERROR(IF(VLOOKUP(tPanel_Export[[#This Row],[DATE_TO]],Extra2!A:C,3,0)="месяц закрыт",1,$BR$1),1)</f>
        <v>1</v>
      </c>
      <c r="BL42" s="1" t="str">
        <f>VLOOKUP(tPanel_Export[[#This Row],[MAK]],Curators!A:B,2,0)</f>
        <v>Швейцаров</v>
      </c>
    </row>
    <row r="43" spans="1:64" x14ac:dyDescent="0.25">
      <c r="A43" s="5">
        <v>42005</v>
      </c>
      <c r="B43" s="5">
        <v>42369</v>
      </c>
      <c r="C43" t="s">
        <v>21</v>
      </c>
      <c r="E43">
        <v>552</v>
      </c>
      <c r="H43" s="1">
        <v>172190217.09</v>
      </c>
      <c r="J43" s="1">
        <v>311938.79907608702</v>
      </c>
      <c r="L43">
        <v>340</v>
      </c>
      <c r="O43">
        <v>84</v>
      </c>
      <c r="R43">
        <v>14</v>
      </c>
      <c r="U4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0.69202900000000001</v>
      </c>
      <c r="AB43" s="3">
        <v>0.55297600000000002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17">
        <v>19.453210500000001</v>
      </c>
      <c r="AJ43" s="17">
        <v>42.56</v>
      </c>
      <c r="AL43" s="17">
        <v>114</v>
      </c>
      <c r="AM43">
        <v>0.41220000000000001</v>
      </c>
      <c r="AN43" s="10">
        <v>266645461.58000001</v>
      </c>
      <c r="AO43" s="30">
        <f>tPanel_Export[[#This Row],[ASP_D_COUNT_PLAN]]+tPanel_Export[[#This Row],[C2C_COUNT_PLAN]]</f>
        <v>0</v>
      </c>
      <c r="AP43" s="30">
        <f>tPanel_Export[[#This Row],[ASP_D_COUNT_FACT]]+tPanel_Export[[#This Row],[C2C_COUNT_FACT]]</f>
        <v>14</v>
      </c>
      <c r="AQ43" s="1">
        <f>tPanel_Export[[#This Row],[MEDIUM_CHECK]]*tPanel_Export[[#This Row],[TOTAL_COUNT_FACT]]</f>
        <v>172190217.09000003</v>
      </c>
      <c r="AR43" s="10">
        <f>YEAR(tPanel_Export[[#This Row],[DATE_TO]])</f>
        <v>2015</v>
      </c>
      <c r="AS43" s="1">
        <f>MONTH(tPanel_Export[[#This Row],[DATE_TO]])</f>
        <v>12</v>
      </c>
      <c r="AT4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3" s="1">
        <f>tPanel_Export[[#This Row],[STAVKAGP]]*tPanel_Export[[#This Row],[TOTAL_SUM_FACT]]</f>
        <v>3349652539.0924678</v>
      </c>
      <c r="AV43" s="1">
        <f>tPanel_Export[[#This Row],[SROKKRED]]*tPanel_Export[[#This Row],[TOTAL_SUM_FACT]]</f>
        <v>7328415639.3504009</v>
      </c>
      <c r="AW43" s="1">
        <f>tPanel_Export[[#This Row],[SV_PV]]*tPanel_Export[[#This Row],[VEHICLE_COST_RUR_AMT]]</f>
        <v>109911259.26327601</v>
      </c>
      <c r="AX43" s="1">
        <f>tPanel_Export[[#This Row],[VKASKO_PENET_SHT]]*tPanel_Export[[#This Row],[TOTAL_COUNT_FACT]]</f>
        <v>0</v>
      </c>
      <c r="AY43" s="1">
        <f>tPanel_Export[[#This Row],[VKASKO_PENET_RUB]]*tPanel_Export[[#This Row],[TOTAL_SUM_FACT]]</f>
        <v>0</v>
      </c>
      <c r="AZ43" s="1">
        <f>tPanel_Export[[#This Row],[MKASKO_PENET_SHT]]*tPanel_Export[[#This Row],[TOTAL_COUNT_FACT]]</f>
        <v>0</v>
      </c>
      <c r="BA43" s="1">
        <f>tPanel_Export[[#This Row],[MKASKO_PENET_RUB]]*tPanel_Export[[#This Row],[TOTAL_SUM_FACT]]</f>
        <v>0</v>
      </c>
      <c r="BB43" s="1">
        <f>tPanel_Export[[#This Row],[SJ_PENET_SHT]]*tPanel_Export[[#This Row],[TOTAL_COUNT_FACT]]</f>
        <v>382.00000799999998</v>
      </c>
      <c r="BC43" s="1">
        <f>tPanel_Export[[#This Row],[SJ_PENET_RUB]]*tPanel_Export[[#This Row],[TOTAL_SUM_FACT]]</f>
        <v>95217057.485559851</v>
      </c>
      <c r="BD43" s="1">
        <f>tPanel_Export[[#This Row],[DKASKO_PENET_SHT]]*tPanel_Export[[#This Row],[TOTAL_COUNT_FACT]]</f>
        <v>0</v>
      </c>
      <c r="BE43" s="1">
        <f>tPanel_Export[[#This Row],[DKASKO_PENET_RUB]]*tPanel_Export[[#This Row],[TOTAL_SUM_FACT]]</f>
        <v>0</v>
      </c>
      <c r="BF43" s="1">
        <f>tPanel_Export[[#This Row],[RAMK_PENET_SHT]]*tPanel_Export[[#This Row],[TOTAL_COUNT_FACT]]</f>
        <v>0</v>
      </c>
      <c r="BG43" s="1">
        <f>tPanel_Export[[#This Row],[RAMK_PENET_RUB]]*tPanel_Export[[#This Row],[TOTAL_SUM_FACT]]</f>
        <v>0</v>
      </c>
      <c r="BH43" s="1">
        <f>tPanel_Export[[#This Row],[AVL_PENET_SHT]]*tPanel_Export[[#This Row],[TOTAL_COUNT_FACT]]</f>
        <v>0</v>
      </c>
      <c r="BI43" s="1">
        <f>tPanel_Export[[#This Row],[AVL_PENET_RUB]]*tPanel_Export[[#This Row],[TOTAL_SUM_FACT]]</f>
        <v>0</v>
      </c>
      <c r="BJ43" s="1">
        <f>1</f>
        <v>1</v>
      </c>
      <c r="BK43" s="32">
        <f>IFERROR(IF(VLOOKUP(tPanel_Export[[#This Row],[DATE_TO]],Extra2!A:C,3,0)="месяц закрыт",1,$BR$1),1)</f>
        <v>1</v>
      </c>
      <c r="BL43" s="1" t="str">
        <f>VLOOKUP(tPanel_Export[[#This Row],[MAK]],Curators!A:B,2,0)</f>
        <v>Кабдулин</v>
      </c>
    </row>
    <row r="44" spans="1:64" x14ac:dyDescent="0.25">
      <c r="A44" s="5">
        <v>42005</v>
      </c>
      <c r="B44" s="5">
        <v>42369</v>
      </c>
      <c r="C44" t="s">
        <v>7</v>
      </c>
      <c r="E44">
        <v>2800</v>
      </c>
      <c r="H44" s="1">
        <v>1437906269.8800001</v>
      </c>
      <c r="J44" s="1">
        <v>513537.953528571</v>
      </c>
      <c r="L44">
        <v>1870</v>
      </c>
      <c r="O44">
        <v>654</v>
      </c>
      <c r="R44">
        <v>55</v>
      </c>
      <c r="U44">
        <v>0</v>
      </c>
      <c r="V44" s="3">
        <v>0</v>
      </c>
      <c r="W44" s="3">
        <v>7.3670000000000003E-3</v>
      </c>
      <c r="X44" s="3">
        <v>6.4320000000000002E-3</v>
      </c>
      <c r="Y44" s="3">
        <v>0</v>
      </c>
      <c r="Z44" s="3">
        <v>0</v>
      </c>
      <c r="AA44" s="3">
        <v>0.78214300000000003</v>
      </c>
      <c r="AB44" s="3">
        <v>0.70061899999999999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17">
        <v>17.967836399999999</v>
      </c>
      <c r="AJ44" s="17">
        <v>44.35</v>
      </c>
      <c r="AL44" s="17">
        <v>221</v>
      </c>
      <c r="AM44">
        <v>0.42709999999999998</v>
      </c>
      <c r="AN44" s="10">
        <v>2193310989.7800002</v>
      </c>
      <c r="AO44" s="30">
        <f>tPanel_Export[[#This Row],[ASP_D_COUNT_PLAN]]+tPanel_Export[[#This Row],[C2C_COUNT_PLAN]]</f>
        <v>0</v>
      </c>
      <c r="AP44" s="30">
        <f>tPanel_Export[[#This Row],[ASP_D_COUNT_FACT]]+tPanel_Export[[#This Row],[C2C_COUNT_FACT]]</f>
        <v>55</v>
      </c>
      <c r="AQ44" s="1">
        <f>tPanel_Export[[#This Row],[MEDIUM_CHECK]]*tPanel_Export[[#This Row],[TOTAL_COUNT_FACT]]</f>
        <v>1437906269.8799987</v>
      </c>
      <c r="AR44" s="10">
        <f>YEAR(tPanel_Export[[#This Row],[DATE_TO]])</f>
        <v>2015</v>
      </c>
      <c r="AS44" s="1">
        <f>MONTH(tPanel_Export[[#This Row],[DATE_TO]])</f>
        <v>12</v>
      </c>
      <c r="AT4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4" s="1">
        <f>tPanel_Export[[#This Row],[STAVKAGP]]*tPanel_Export[[#This Row],[TOTAL_SUM_FACT]]</f>
        <v>25836064615.738091</v>
      </c>
      <c r="AV44" s="1">
        <f>tPanel_Export[[#This Row],[SROKKRED]]*tPanel_Export[[#This Row],[TOTAL_SUM_FACT]]</f>
        <v>63771143069.178009</v>
      </c>
      <c r="AW44" s="1">
        <f>tPanel_Export[[#This Row],[SV_PV]]*tPanel_Export[[#This Row],[VEHICLE_COST_RUR_AMT]]</f>
        <v>936763123.73503804</v>
      </c>
      <c r="AX44" s="1">
        <f>tPanel_Export[[#This Row],[VKASKO_PENET_SHT]]*tPanel_Export[[#This Row],[TOTAL_COUNT_FACT]]</f>
        <v>20.627600000000001</v>
      </c>
      <c r="AY44" s="1">
        <f>tPanel_Export[[#This Row],[VKASKO_PENET_RUB]]*tPanel_Export[[#This Row],[TOTAL_SUM_FACT]]</f>
        <v>9248613.1278681606</v>
      </c>
      <c r="AZ44" s="1">
        <f>tPanel_Export[[#This Row],[MKASKO_PENET_SHT]]*tPanel_Export[[#This Row],[TOTAL_COUNT_FACT]]</f>
        <v>0</v>
      </c>
      <c r="BA44" s="1">
        <f>tPanel_Export[[#This Row],[MKASKO_PENET_RUB]]*tPanel_Export[[#This Row],[TOTAL_SUM_FACT]]</f>
        <v>0</v>
      </c>
      <c r="BB44" s="1">
        <f>tPanel_Export[[#This Row],[SJ_PENET_SHT]]*tPanel_Export[[#This Row],[TOTAL_COUNT_FACT]]</f>
        <v>2190.0003999999999</v>
      </c>
      <c r="BC44" s="1">
        <f>tPanel_Export[[#This Row],[SJ_PENET_RUB]]*tPanel_Export[[#This Row],[TOTAL_SUM_FACT]]</f>
        <v>1007424452.8970557</v>
      </c>
      <c r="BD44" s="1">
        <f>tPanel_Export[[#This Row],[DKASKO_PENET_SHT]]*tPanel_Export[[#This Row],[TOTAL_COUNT_FACT]]</f>
        <v>0</v>
      </c>
      <c r="BE44" s="1">
        <f>tPanel_Export[[#This Row],[DKASKO_PENET_RUB]]*tPanel_Export[[#This Row],[TOTAL_SUM_FACT]]</f>
        <v>0</v>
      </c>
      <c r="BF44" s="1">
        <f>tPanel_Export[[#This Row],[RAMK_PENET_SHT]]*tPanel_Export[[#This Row],[TOTAL_COUNT_FACT]]</f>
        <v>0</v>
      </c>
      <c r="BG44" s="1">
        <f>tPanel_Export[[#This Row],[RAMK_PENET_RUB]]*tPanel_Export[[#This Row],[TOTAL_SUM_FACT]]</f>
        <v>0</v>
      </c>
      <c r="BH44" s="1">
        <f>tPanel_Export[[#This Row],[AVL_PENET_SHT]]*tPanel_Export[[#This Row],[TOTAL_COUNT_FACT]]</f>
        <v>0</v>
      </c>
      <c r="BI44" s="1">
        <f>tPanel_Export[[#This Row],[AVL_PENET_RUB]]*tPanel_Export[[#This Row],[TOTAL_SUM_FACT]]</f>
        <v>0</v>
      </c>
      <c r="BJ44" s="1">
        <f>1</f>
        <v>1</v>
      </c>
      <c r="BK44" s="32">
        <f>IFERROR(IF(VLOOKUP(tPanel_Export[[#This Row],[DATE_TO]],Extra2!A:C,3,0)="месяц закрыт",1,$BR$1),1)</f>
        <v>1</v>
      </c>
      <c r="BL44" s="1" t="str">
        <f>VLOOKUP(tPanel_Export[[#This Row],[MAK]],Curators!A:B,2,0)</f>
        <v>Кабдулин</v>
      </c>
    </row>
    <row r="45" spans="1:64" x14ac:dyDescent="0.25">
      <c r="A45" s="5">
        <v>42005</v>
      </c>
      <c r="B45" s="5">
        <v>42369</v>
      </c>
      <c r="C45" t="s">
        <v>45</v>
      </c>
      <c r="E45">
        <v>1730</v>
      </c>
      <c r="H45" s="1">
        <v>692088766.24000001</v>
      </c>
      <c r="J45" s="1">
        <v>400051.30996531801</v>
      </c>
      <c r="L45">
        <v>1338</v>
      </c>
      <c r="O45">
        <v>271</v>
      </c>
      <c r="R45">
        <v>20</v>
      </c>
      <c r="U45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0.75722500000000004</v>
      </c>
      <c r="AB45" s="3">
        <v>0.62072499999999997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17">
        <v>18.491431200000001</v>
      </c>
      <c r="AJ45" s="17">
        <v>43.09</v>
      </c>
      <c r="AL45" s="17">
        <v>101</v>
      </c>
      <c r="AM45">
        <v>0.44840000000000002</v>
      </c>
      <c r="AN45" s="10">
        <v>1138543089.3099999</v>
      </c>
      <c r="AO45" s="30">
        <f>tPanel_Export[[#This Row],[ASP_D_COUNT_PLAN]]+tPanel_Export[[#This Row],[C2C_COUNT_PLAN]]</f>
        <v>0</v>
      </c>
      <c r="AP45" s="30">
        <f>tPanel_Export[[#This Row],[ASP_D_COUNT_FACT]]+tPanel_Export[[#This Row],[C2C_COUNT_FACT]]</f>
        <v>20</v>
      </c>
      <c r="AQ45" s="1">
        <f>tPanel_Export[[#This Row],[MEDIUM_CHECK]]*tPanel_Export[[#This Row],[TOTAL_COUNT_FACT]]</f>
        <v>692088766.24000013</v>
      </c>
      <c r="AR45" s="10">
        <f>YEAR(tPanel_Export[[#This Row],[DATE_TO]])</f>
        <v>2015</v>
      </c>
      <c r="AS45" s="1">
        <f>MONTH(tPanel_Export[[#This Row],[DATE_TO]])</f>
        <v>12</v>
      </c>
      <c r="AT4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5" s="1">
        <f>tPanel_Export[[#This Row],[STAVKAGP]]*tPanel_Export[[#This Row],[TOTAL_SUM_FACT]]</f>
        <v>12797711805.219843</v>
      </c>
      <c r="AV45" s="1">
        <f>tPanel_Export[[#This Row],[SROKKRED]]*tPanel_Export[[#This Row],[TOTAL_SUM_FACT]]</f>
        <v>29822104937.281601</v>
      </c>
      <c r="AW45" s="1">
        <f>tPanel_Export[[#This Row],[SV_PV]]*tPanel_Export[[#This Row],[VEHICLE_COST_RUR_AMT]]</f>
        <v>510522721.24660403</v>
      </c>
      <c r="AX45" s="1">
        <f>tPanel_Export[[#This Row],[VKASKO_PENET_SHT]]*tPanel_Export[[#This Row],[TOTAL_COUNT_FACT]]</f>
        <v>0</v>
      </c>
      <c r="AY45" s="1">
        <f>tPanel_Export[[#This Row],[VKASKO_PENET_RUB]]*tPanel_Export[[#This Row],[TOTAL_SUM_FACT]]</f>
        <v>0</v>
      </c>
      <c r="AZ45" s="1">
        <f>tPanel_Export[[#This Row],[MKASKO_PENET_SHT]]*tPanel_Export[[#This Row],[TOTAL_COUNT_FACT]]</f>
        <v>0</v>
      </c>
      <c r="BA45" s="1">
        <f>tPanel_Export[[#This Row],[MKASKO_PENET_RUB]]*tPanel_Export[[#This Row],[TOTAL_SUM_FACT]]</f>
        <v>0</v>
      </c>
      <c r="BB45" s="1">
        <f>tPanel_Export[[#This Row],[SJ_PENET_SHT]]*tPanel_Export[[#This Row],[TOTAL_COUNT_FACT]]</f>
        <v>1309.9992500000001</v>
      </c>
      <c r="BC45" s="1">
        <f>tPanel_Export[[#This Row],[SJ_PENET_RUB]]*tPanel_Export[[#This Row],[TOTAL_SUM_FACT]]</f>
        <v>429596799.42432398</v>
      </c>
      <c r="BD45" s="1">
        <f>tPanel_Export[[#This Row],[DKASKO_PENET_SHT]]*tPanel_Export[[#This Row],[TOTAL_COUNT_FACT]]</f>
        <v>0</v>
      </c>
      <c r="BE45" s="1">
        <f>tPanel_Export[[#This Row],[DKASKO_PENET_RUB]]*tPanel_Export[[#This Row],[TOTAL_SUM_FACT]]</f>
        <v>0</v>
      </c>
      <c r="BF45" s="1">
        <f>tPanel_Export[[#This Row],[RAMK_PENET_SHT]]*tPanel_Export[[#This Row],[TOTAL_COUNT_FACT]]</f>
        <v>0</v>
      </c>
      <c r="BG45" s="1">
        <f>tPanel_Export[[#This Row],[RAMK_PENET_RUB]]*tPanel_Export[[#This Row],[TOTAL_SUM_FACT]]</f>
        <v>0</v>
      </c>
      <c r="BH45" s="1">
        <f>tPanel_Export[[#This Row],[AVL_PENET_SHT]]*tPanel_Export[[#This Row],[TOTAL_COUNT_FACT]]</f>
        <v>0</v>
      </c>
      <c r="BI45" s="1">
        <f>tPanel_Export[[#This Row],[AVL_PENET_RUB]]*tPanel_Export[[#This Row],[TOTAL_SUM_FACT]]</f>
        <v>0</v>
      </c>
      <c r="BJ45" s="1">
        <f>1</f>
        <v>1</v>
      </c>
      <c r="BK45" s="32">
        <f>IFERROR(IF(VLOOKUP(tPanel_Export[[#This Row],[DATE_TO]],Extra2!A:C,3,0)="месяц закрыт",1,$BR$1),1)</f>
        <v>1</v>
      </c>
      <c r="BL45" s="1" t="str">
        <f>VLOOKUP(tPanel_Export[[#This Row],[MAK]],Curators!A:B,2,0)</f>
        <v>Кашин</v>
      </c>
    </row>
    <row r="46" spans="1:64" x14ac:dyDescent="0.25">
      <c r="A46" s="5">
        <v>42005</v>
      </c>
      <c r="B46" s="5">
        <v>42369</v>
      </c>
      <c r="C46" t="s">
        <v>35</v>
      </c>
      <c r="E46">
        <v>217</v>
      </c>
      <c r="H46" s="1">
        <v>190581359.44</v>
      </c>
      <c r="J46" s="1">
        <v>878255.11262672802</v>
      </c>
      <c r="L46">
        <v>90</v>
      </c>
      <c r="O46">
        <v>101</v>
      </c>
      <c r="R46">
        <v>13</v>
      </c>
      <c r="U46">
        <v>0</v>
      </c>
      <c r="V46" s="3">
        <v>0</v>
      </c>
      <c r="W46" s="3">
        <v>9.8040000000000002E-3</v>
      </c>
      <c r="X46" s="3">
        <v>8.7119999999999993E-3</v>
      </c>
      <c r="Y46" s="3">
        <v>0</v>
      </c>
      <c r="Z46" s="3">
        <v>0</v>
      </c>
      <c r="AA46" s="3">
        <v>0.50691200000000003</v>
      </c>
      <c r="AB46" s="3">
        <v>0.405499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17">
        <v>18.2540154</v>
      </c>
      <c r="AJ46" s="17">
        <v>50.38</v>
      </c>
      <c r="AL46" s="17">
        <v>13</v>
      </c>
      <c r="AM46">
        <v>0.43980000000000002</v>
      </c>
      <c r="AN46" s="10">
        <v>309619421.5</v>
      </c>
      <c r="AO46" s="30">
        <f>tPanel_Export[[#This Row],[ASP_D_COUNT_PLAN]]+tPanel_Export[[#This Row],[C2C_COUNT_PLAN]]</f>
        <v>0</v>
      </c>
      <c r="AP46" s="30">
        <f>tPanel_Export[[#This Row],[ASP_D_COUNT_FACT]]+tPanel_Export[[#This Row],[C2C_COUNT_FACT]]</f>
        <v>13</v>
      </c>
      <c r="AQ46" s="1">
        <f>tPanel_Export[[#This Row],[MEDIUM_CHECK]]*tPanel_Export[[#This Row],[TOTAL_COUNT_FACT]]</f>
        <v>190581359.43999997</v>
      </c>
      <c r="AR46" s="10">
        <f>YEAR(tPanel_Export[[#This Row],[DATE_TO]])</f>
        <v>2015</v>
      </c>
      <c r="AS46" s="1">
        <f>MONTH(tPanel_Export[[#This Row],[DATE_TO]])</f>
        <v>12</v>
      </c>
      <c r="AT46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6" s="1">
        <f>tPanel_Export[[#This Row],[STAVKAGP]]*tPanel_Export[[#This Row],[TOTAL_SUM_FACT]]</f>
        <v>3478875070.1706953</v>
      </c>
      <c r="AV46" s="1">
        <f>tPanel_Export[[#This Row],[SROKKRED]]*tPanel_Export[[#This Row],[TOTAL_SUM_FACT]]</f>
        <v>9601488888.5872002</v>
      </c>
      <c r="AW46" s="1">
        <f>tPanel_Export[[#This Row],[SV_PV]]*tPanel_Export[[#This Row],[VEHICLE_COST_RUR_AMT]]</f>
        <v>136170621.57570001</v>
      </c>
      <c r="AX46" s="1">
        <f>tPanel_Export[[#This Row],[VKASKO_PENET_SHT]]*tPanel_Export[[#This Row],[TOTAL_COUNT_FACT]]</f>
        <v>2.1274679999999999</v>
      </c>
      <c r="AY46" s="1">
        <f>tPanel_Export[[#This Row],[VKASKO_PENET_RUB]]*tPanel_Export[[#This Row],[TOTAL_SUM_FACT]]</f>
        <v>1660344.8034412798</v>
      </c>
      <c r="AZ46" s="1">
        <f>tPanel_Export[[#This Row],[MKASKO_PENET_SHT]]*tPanel_Export[[#This Row],[TOTAL_COUNT_FACT]]</f>
        <v>0</v>
      </c>
      <c r="BA46" s="1">
        <f>tPanel_Export[[#This Row],[MKASKO_PENET_RUB]]*tPanel_Export[[#This Row],[TOTAL_SUM_FACT]]</f>
        <v>0</v>
      </c>
      <c r="BB46" s="1">
        <f>tPanel_Export[[#This Row],[SJ_PENET_SHT]]*tPanel_Export[[#This Row],[TOTAL_COUNT_FACT]]</f>
        <v>109.999904</v>
      </c>
      <c r="BC46" s="1">
        <f>tPanel_Export[[#This Row],[SJ_PENET_RUB]]*tPanel_Export[[#This Row],[TOTAL_SUM_FACT]]</f>
        <v>77280550.671560556</v>
      </c>
      <c r="BD46" s="1">
        <f>tPanel_Export[[#This Row],[DKASKO_PENET_SHT]]*tPanel_Export[[#This Row],[TOTAL_COUNT_FACT]]</f>
        <v>0</v>
      </c>
      <c r="BE46" s="1">
        <f>tPanel_Export[[#This Row],[DKASKO_PENET_RUB]]*tPanel_Export[[#This Row],[TOTAL_SUM_FACT]]</f>
        <v>0</v>
      </c>
      <c r="BF46" s="1">
        <f>tPanel_Export[[#This Row],[RAMK_PENET_SHT]]*tPanel_Export[[#This Row],[TOTAL_COUNT_FACT]]</f>
        <v>0</v>
      </c>
      <c r="BG46" s="1">
        <f>tPanel_Export[[#This Row],[RAMK_PENET_RUB]]*tPanel_Export[[#This Row],[TOTAL_SUM_FACT]]</f>
        <v>0</v>
      </c>
      <c r="BH46" s="1">
        <f>tPanel_Export[[#This Row],[AVL_PENET_SHT]]*tPanel_Export[[#This Row],[TOTAL_COUNT_FACT]]</f>
        <v>0</v>
      </c>
      <c r="BI46" s="1">
        <f>tPanel_Export[[#This Row],[AVL_PENET_RUB]]*tPanel_Export[[#This Row],[TOTAL_SUM_FACT]]</f>
        <v>0</v>
      </c>
      <c r="BJ46" s="1">
        <f>1</f>
        <v>1</v>
      </c>
      <c r="BK46" s="32">
        <f>IFERROR(IF(VLOOKUP(tPanel_Export[[#This Row],[DATE_TO]],Extra2!A:C,3,0)="месяц закрыт",1,$BR$1),1)</f>
        <v>1</v>
      </c>
      <c r="BL46" s="1" t="str">
        <f>VLOOKUP(tPanel_Export[[#This Row],[MAK]],Curators!A:B,2,0)</f>
        <v>Чаусов</v>
      </c>
    </row>
    <row r="47" spans="1:64" x14ac:dyDescent="0.25">
      <c r="A47" s="5">
        <v>42005</v>
      </c>
      <c r="B47" s="5">
        <v>42369</v>
      </c>
      <c r="C47" t="s">
        <v>56</v>
      </c>
      <c r="E47">
        <v>45</v>
      </c>
      <c r="H47" s="1">
        <v>40703781.479999997</v>
      </c>
      <c r="J47" s="1">
        <v>904528.47733333299</v>
      </c>
      <c r="L47">
        <v>13</v>
      </c>
      <c r="O47">
        <v>23</v>
      </c>
      <c r="R47">
        <v>4</v>
      </c>
      <c r="U47">
        <v>0</v>
      </c>
      <c r="V47" s="3">
        <v>0</v>
      </c>
      <c r="W47" s="3">
        <v>2.5000000000000001E-2</v>
      </c>
      <c r="X47" s="3">
        <v>1.2113000000000001E-2</v>
      </c>
      <c r="Y47" s="3">
        <v>0</v>
      </c>
      <c r="Z47" s="3">
        <v>0</v>
      </c>
      <c r="AA47" s="3">
        <v>0.222222</v>
      </c>
      <c r="AB47" s="3">
        <v>0.15088799999999999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17">
        <v>18.608903699999999</v>
      </c>
      <c r="AJ47" s="17">
        <v>56.87</v>
      </c>
      <c r="AL47" s="17">
        <v>5</v>
      </c>
      <c r="AM47">
        <v>0.44040000000000001</v>
      </c>
      <c r="AN47" s="10">
        <v>68893765.390000001</v>
      </c>
      <c r="AO47" s="30">
        <f>tPanel_Export[[#This Row],[ASP_D_COUNT_PLAN]]+tPanel_Export[[#This Row],[C2C_COUNT_PLAN]]</f>
        <v>0</v>
      </c>
      <c r="AP47" s="30">
        <f>tPanel_Export[[#This Row],[ASP_D_COUNT_FACT]]+tPanel_Export[[#This Row],[C2C_COUNT_FACT]]</f>
        <v>4</v>
      </c>
      <c r="AQ47" s="1">
        <f>tPanel_Export[[#This Row],[MEDIUM_CHECK]]*tPanel_Export[[#This Row],[TOTAL_COUNT_FACT]]</f>
        <v>40703781.479999982</v>
      </c>
      <c r="AR47" s="10">
        <f>YEAR(tPanel_Export[[#This Row],[DATE_TO]])</f>
        <v>2015</v>
      </c>
      <c r="AS47" s="1">
        <f>MONTH(tPanel_Export[[#This Row],[DATE_TO]])</f>
        <v>12</v>
      </c>
      <c r="AT47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7" s="1">
        <f>tPanel_Export[[#This Row],[STAVKAGP]]*tPanel_Export[[#This Row],[TOTAL_SUM_FACT]]</f>
        <v>757452749.78716338</v>
      </c>
      <c r="AV47" s="1">
        <f>tPanel_Export[[#This Row],[SROKKRED]]*tPanel_Export[[#This Row],[TOTAL_SUM_FACT]]</f>
        <v>2314824052.7675996</v>
      </c>
      <c r="AW47" s="1">
        <f>tPanel_Export[[#This Row],[SV_PV]]*tPanel_Export[[#This Row],[VEHICLE_COST_RUR_AMT]]</f>
        <v>30340814.277756002</v>
      </c>
      <c r="AX47" s="1">
        <f>tPanel_Export[[#This Row],[VKASKO_PENET_SHT]]*tPanel_Export[[#This Row],[TOTAL_COUNT_FACT]]</f>
        <v>1.125</v>
      </c>
      <c r="AY47" s="1">
        <f>tPanel_Export[[#This Row],[VKASKO_PENET_RUB]]*tPanel_Export[[#This Row],[TOTAL_SUM_FACT]]</f>
        <v>493044.90506724</v>
      </c>
      <c r="AZ47" s="1">
        <f>tPanel_Export[[#This Row],[MKASKO_PENET_SHT]]*tPanel_Export[[#This Row],[TOTAL_COUNT_FACT]]</f>
        <v>0</v>
      </c>
      <c r="BA47" s="1">
        <f>tPanel_Export[[#This Row],[MKASKO_PENET_RUB]]*tPanel_Export[[#This Row],[TOTAL_SUM_FACT]]</f>
        <v>0</v>
      </c>
      <c r="BB47" s="1">
        <f>tPanel_Export[[#This Row],[SJ_PENET_SHT]]*tPanel_Export[[#This Row],[TOTAL_COUNT_FACT]]</f>
        <v>9.9999900000000004</v>
      </c>
      <c r="BC47" s="1">
        <f>tPanel_Export[[#This Row],[SJ_PENET_RUB]]*tPanel_Export[[#This Row],[TOTAL_SUM_FACT]]</f>
        <v>6141712.1799542392</v>
      </c>
      <c r="BD47" s="1">
        <f>tPanel_Export[[#This Row],[DKASKO_PENET_SHT]]*tPanel_Export[[#This Row],[TOTAL_COUNT_FACT]]</f>
        <v>0</v>
      </c>
      <c r="BE47" s="1">
        <f>tPanel_Export[[#This Row],[DKASKO_PENET_RUB]]*tPanel_Export[[#This Row],[TOTAL_SUM_FACT]]</f>
        <v>0</v>
      </c>
      <c r="BF47" s="1">
        <f>tPanel_Export[[#This Row],[RAMK_PENET_SHT]]*tPanel_Export[[#This Row],[TOTAL_COUNT_FACT]]</f>
        <v>0</v>
      </c>
      <c r="BG47" s="1">
        <f>tPanel_Export[[#This Row],[RAMK_PENET_RUB]]*tPanel_Export[[#This Row],[TOTAL_SUM_FACT]]</f>
        <v>0</v>
      </c>
      <c r="BH47" s="1">
        <f>tPanel_Export[[#This Row],[AVL_PENET_SHT]]*tPanel_Export[[#This Row],[TOTAL_COUNT_FACT]]</f>
        <v>0</v>
      </c>
      <c r="BI47" s="1">
        <f>tPanel_Export[[#This Row],[AVL_PENET_RUB]]*tPanel_Export[[#This Row],[TOTAL_SUM_FACT]]</f>
        <v>0</v>
      </c>
      <c r="BJ47" s="1">
        <f>1</f>
        <v>1</v>
      </c>
      <c r="BK47" s="32">
        <f>IFERROR(IF(VLOOKUP(tPanel_Export[[#This Row],[DATE_TO]],Extra2!A:C,3,0)="месяц закрыт",1,$BR$1),1)</f>
        <v>1</v>
      </c>
      <c r="BL47" s="1" t="str">
        <f>VLOOKUP(tPanel_Export[[#This Row],[MAK]],Curators!A:B,2,0)</f>
        <v>Капшук</v>
      </c>
    </row>
    <row r="48" spans="1:64" x14ac:dyDescent="0.25">
      <c r="A48" s="5">
        <v>42005</v>
      </c>
      <c r="B48" s="5">
        <v>42369</v>
      </c>
      <c r="C48" t="s">
        <v>25</v>
      </c>
      <c r="E48">
        <v>14194</v>
      </c>
      <c r="H48" s="1">
        <v>8852080698.4799995</v>
      </c>
      <c r="J48" s="1">
        <v>623649.478545864</v>
      </c>
      <c r="L48">
        <v>9086</v>
      </c>
      <c r="O48">
        <v>4319</v>
      </c>
      <c r="R48">
        <v>469</v>
      </c>
      <c r="U48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0.72417900000000002</v>
      </c>
      <c r="AB48" s="3">
        <v>0.653443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17">
        <v>17.790802599999999</v>
      </c>
      <c r="AJ48" s="17">
        <v>42.15</v>
      </c>
      <c r="AL48" s="17">
        <v>320</v>
      </c>
      <c r="AM48">
        <v>0.46560000000000001</v>
      </c>
      <c r="AN48" s="10">
        <v>14924901324.049999</v>
      </c>
      <c r="AO48" s="30">
        <f>tPanel_Export[[#This Row],[ASP_D_COUNT_PLAN]]+tPanel_Export[[#This Row],[C2C_COUNT_PLAN]]</f>
        <v>0</v>
      </c>
      <c r="AP48" s="30">
        <f>tPanel_Export[[#This Row],[ASP_D_COUNT_FACT]]+tPanel_Export[[#This Row],[C2C_COUNT_FACT]]</f>
        <v>469</v>
      </c>
      <c r="AQ48" s="1">
        <f>tPanel_Export[[#This Row],[MEDIUM_CHECK]]*tPanel_Export[[#This Row],[TOTAL_COUNT_FACT]]</f>
        <v>8852080698.4799938</v>
      </c>
      <c r="AR48" s="10">
        <f>YEAR(tPanel_Export[[#This Row],[DATE_TO]])</f>
        <v>2015</v>
      </c>
      <c r="AS48" s="1">
        <f>MONTH(tPanel_Export[[#This Row],[DATE_TO]])</f>
        <v>12</v>
      </c>
      <c r="AT48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8" s="1">
        <f>tPanel_Export[[#This Row],[STAVKAGP]]*tPanel_Export[[#This Row],[TOTAL_SUM_FACT]]</f>
        <v>157485620305.9278</v>
      </c>
      <c r="AV48" s="1">
        <f>tPanel_Export[[#This Row],[SROKKRED]]*tPanel_Export[[#This Row],[TOTAL_SUM_FACT]]</f>
        <v>373115201440.93195</v>
      </c>
      <c r="AW48" s="1">
        <f>tPanel_Export[[#This Row],[SV_PV]]*tPanel_Export[[#This Row],[VEHICLE_COST_RUR_AMT]]</f>
        <v>6949034056.4776802</v>
      </c>
      <c r="AX48" s="1">
        <f>tPanel_Export[[#This Row],[VKASKO_PENET_SHT]]*tPanel_Export[[#This Row],[TOTAL_COUNT_FACT]]</f>
        <v>0</v>
      </c>
      <c r="AY48" s="1">
        <f>tPanel_Export[[#This Row],[VKASKO_PENET_RUB]]*tPanel_Export[[#This Row],[TOTAL_SUM_FACT]]</f>
        <v>0</v>
      </c>
      <c r="AZ48" s="1">
        <f>tPanel_Export[[#This Row],[MKASKO_PENET_SHT]]*tPanel_Export[[#This Row],[TOTAL_COUNT_FACT]]</f>
        <v>0</v>
      </c>
      <c r="BA48" s="1">
        <f>tPanel_Export[[#This Row],[MKASKO_PENET_RUB]]*tPanel_Export[[#This Row],[TOTAL_SUM_FACT]]</f>
        <v>0</v>
      </c>
      <c r="BB48" s="1">
        <f>tPanel_Export[[#This Row],[SJ_PENET_SHT]]*tPanel_Export[[#This Row],[TOTAL_COUNT_FACT]]</f>
        <v>10278.996725999999</v>
      </c>
      <c r="BC48" s="1">
        <f>tPanel_Export[[#This Row],[SJ_PENET_RUB]]*tPanel_Export[[#This Row],[TOTAL_SUM_FACT]]</f>
        <v>5784330167.8568659</v>
      </c>
      <c r="BD48" s="1">
        <f>tPanel_Export[[#This Row],[DKASKO_PENET_SHT]]*tPanel_Export[[#This Row],[TOTAL_COUNT_FACT]]</f>
        <v>0</v>
      </c>
      <c r="BE48" s="1">
        <f>tPanel_Export[[#This Row],[DKASKO_PENET_RUB]]*tPanel_Export[[#This Row],[TOTAL_SUM_FACT]]</f>
        <v>0</v>
      </c>
      <c r="BF48" s="1">
        <f>tPanel_Export[[#This Row],[RAMK_PENET_SHT]]*tPanel_Export[[#This Row],[TOTAL_COUNT_FACT]]</f>
        <v>0</v>
      </c>
      <c r="BG48" s="1">
        <f>tPanel_Export[[#This Row],[RAMK_PENET_RUB]]*tPanel_Export[[#This Row],[TOTAL_SUM_FACT]]</f>
        <v>0</v>
      </c>
      <c r="BH48" s="1">
        <f>tPanel_Export[[#This Row],[AVL_PENET_SHT]]*tPanel_Export[[#This Row],[TOTAL_COUNT_FACT]]</f>
        <v>0</v>
      </c>
      <c r="BI48" s="1">
        <f>tPanel_Export[[#This Row],[AVL_PENET_RUB]]*tPanel_Export[[#This Row],[TOTAL_SUM_FACT]]</f>
        <v>0</v>
      </c>
      <c r="BJ48" s="1">
        <f>1</f>
        <v>1</v>
      </c>
      <c r="BK48" s="32">
        <f>IFERROR(IF(VLOOKUP(tPanel_Export[[#This Row],[DATE_TO]],Extra2!A:C,3,0)="месяц закрыт",1,$BR$1),1)</f>
        <v>1</v>
      </c>
      <c r="BL48" s="1" t="str">
        <f>VLOOKUP(tPanel_Export[[#This Row],[MAK]],Curators!A:B,2,0)</f>
        <v>Романов</v>
      </c>
    </row>
    <row r="49" spans="1:64" x14ac:dyDescent="0.25">
      <c r="A49" s="5">
        <v>42005</v>
      </c>
      <c r="B49" s="5">
        <v>42369</v>
      </c>
      <c r="C49" t="s">
        <v>48</v>
      </c>
      <c r="E49">
        <v>713</v>
      </c>
      <c r="H49" s="1">
        <v>305069887.19999999</v>
      </c>
      <c r="J49" s="1">
        <v>427868.00448807899</v>
      </c>
      <c r="L49">
        <v>577</v>
      </c>
      <c r="O49">
        <v>59</v>
      </c>
      <c r="R49">
        <v>10</v>
      </c>
      <c r="U49">
        <v>0</v>
      </c>
      <c r="V49" s="3">
        <v>0</v>
      </c>
      <c r="W49" s="3">
        <v>3.5603999999999997E-2</v>
      </c>
      <c r="X49" s="3">
        <v>3.4415000000000001E-2</v>
      </c>
      <c r="Y49" s="3">
        <v>0</v>
      </c>
      <c r="Z49" s="3">
        <v>0</v>
      </c>
      <c r="AA49" s="3">
        <v>0.79803599999999997</v>
      </c>
      <c r="AB49" s="3">
        <v>0.63688999999999996</v>
      </c>
      <c r="AC49" s="3">
        <v>1.5479999999999999E-3</v>
      </c>
      <c r="AD49" s="3">
        <v>1.2489999999999999E-3</v>
      </c>
      <c r="AE49" s="3">
        <v>0</v>
      </c>
      <c r="AF49" s="3">
        <v>0</v>
      </c>
      <c r="AG49" s="3">
        <v>0</v>
      </c>
      <c r="AH49" s="3">
        <v>0</v>
      </c>
      <c r="AI49" s="17">
        <v>17.8028908</v>
      </c>
      <c r="AJ49" s="17">
        <v>43.02</v>
      </c>
      <c r="AL49" s="17">
        <v>67</v>
      </c>
      <c r="AM49">
        <v>0.45900000000000002</v>
      </c>
      <c r="AN49" s="10">
        <v>514902019.92000002</v>
      </c>
      <c r="AO49" s="30">
        <f>tPanel_Export[[#This Row],[ASP_D_COUNT_PLAN]]+tPanel_Export[[#This Row],[C2C_COUNT_PLAN]]</f>
        <v>0</v>
      </c>
      <c r="AP49" s="30">
        <f>tPanel_Export[[#This Row],[ASP_D_COUNT_FACT]]+tPanel_Export[[#This Row],[C2C_COUNT_FACT]]</f>
        <v>10</v>
      </c>
      <c r="AQ49" s="1">
        <f>tPanel_Export[[#This Row],[MEDIUM_CHECK]]*tPanel_Export[[#This Row],[TOTAL_COUNT_FACT]]</f>
        <v>305069887.20000035</v>
      </c>
      <c r="AR49" s="10">
        <f>YEAR(tPanel_Export[[#This Row],[DATE_TO]])</f>
        <v>2015</v>
      </c>
      <c r="AS49" s="1">
        <f>MONTH(tPanel_Export[[#This Row],[DATE_TO]])</f>
        <v>12</v>
      </c>
      <c r="AT49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49" s="1">
        <f>tPanel_Export[[#This Row],[STAVKAGP]]*tPanel_Export[[#This Row],[TOTAL_SUM_FACT]]</f>
        <v>5431125888.1899176</v>
      </c>
      <c r="AV49" s="1">
        <f>tPanel_Export[[#This Row],[SROKKRED]]*tPanel_Export[[#This Row],[TOTAL_SUM_FACT]]</f>
        <v>13124106547.344</v>
      </c>
      <c r="AW49" s="1">
        <f>tPanel_Export[[#This Row],[SV_PV]]*tPanel_Export[[#This Row],[VEHICLE_COST_RUR_AMT]]</f>
        <v>236340027.14328003</v>
      </c>
      <c r="AX49" s="1">
        <f>tPanel_Export[[#This Row],[VKASKO_PENET_SHT]]*tPanel_Export[[#This Row],[TOTAL_COUNT_FACT]]</f>
        <v>25.385651999999997</v>
      </c>
      <c r="AY49" s="1">
        <f>tPanel_Export[[#This Row],[VKASKO_PENET_RUB]]*tPanel_Export[[#This Row],[TOTAL_SUM_FACT]]</f>
        <v>10498980.167988</v>
      </c>
      <c r="AZ49" s="1">
        <f>tPanel_Export[[#This Row],[MKASKO_PENET_SHT]]*tPanel_Export[[#This Row],[TOTAL_COUNT_FACT]]</f>
        <v>0</v>
      </c>
      <c r="BA49" s="1">
        <f>tPanel_Export[[#This Row],[MKASKO_PENET_RUB]]*tPanel_Export[[#This Row],[TOTAL_SUM_FACT]]</f>
        <v>0</v>
      </c>
      <c r="BB49" s="1">
        <f>tPanel_Export[[#This Row],[SJ_PENET_SHT]]*tPanel_Export[[#This Row],[TOTAL_COUNT_FACT]]</f>
        <v>568.99966799999993</v>
      </c>
      <c r="BC49" s="1">
        <f>tPanel_Export[[#This Row],[SJ_PENET_RUB]]*tPanel_Export[[#This Row],[TOTAL_SUM_FACT]]</f>
        <v>194295960.45880798</v>
      </c>
      <c r="BD49" s="1">
        <f>tPanel_Export[[#This Row],[DKASKO_PENET_SHT]]*tPanel_Export[[#This Row],[TOTAL_COUNT_FACT]]</f>
        <v>1.1037239999999999</v>
      </c>
      <c r="BE49" s="1">
        <f>tPanel_Export[[#This Row],[DKASKO_PENET_RUB]]*tPanel_Export[[#This Row],[TOTAL_SUM_FACT]]</f>
        <v>381032.28911279998</v>
      </c>
      <c r="BF49" s="1">
        <f>tPanel_Export[[#This Row],[RAMK_PENET_SHT]]*tPanel_Export[[#This Row],[TOTAL_COUNT_FACT]]</f>
        <v>0</v>
      </c>
      <c r="BG49" s="1">
        <f>tPanel_Export[[#This Row],[RAMK_PENET_RUB]]*tPanel_Export[[#This Row],[TOTAL_SUM_FACT]]</f>
        <v>0</v>
      </c>
      <c r="BH49" s="1">
        <f>tPanel_Export[[#This Row],[AVL_PENET_SHT]]*tPanel_Export[[#This Row],[TOTAL_COUNT_FACT]]</f>
        <v>0</v>
      </c>
      <c r="BI49" s="1">
        <f>tPanel_Export[[#This Row],[AVL_PENET_RUB]]*tPanel_Export[[#This Row],[TOTAL_SUM_FACT]]</f>
        <v>0</v>
      </c>
      <c r="BJ49" s="1">
        <f>1</f>
        <v>1</v>
      </c>
      <c r="BK49" s="32">
        <f>IFERROR(IF(VLOOKUP(tPanel_Export[[#This Row],[DATE_TO]],Extra2!A:C,3,0)="месяц закрыт",1,$BR$1),1)</f>
        <v>1</v>
      </c>
      <c r="BL49" s="1" t="str">
        <f>VLOOKUP(tPanel_Export[[#This Row],[MAK]],Curators!A:B,2,0)</f>
        <v>Капшук</v>
      </c>
    </row>
    <row r="50" spans="1:64" x14ac:dyDescent="0.25">
      <c r="A50" s="5">
        <v>42005</v>
      </c>
      <c r="B50" s="5">
        <v>42369</v>
      </c>
      <c r="C50" t="s">
        <v>62</v>
      </c>
      <c r="E50">
        <v>2726</v>
      </c>
      <c r="H50" s="1">
        <v>1148436338.55</v>
      </c>
      <c r="J50" s="1">
        <v>421289.92610051401</v>
      </c>
      <c r="L50">
        <v>2107</v>
      </c>
      <c r="O50">
        <v>338</v>
      </c>
      <c r="R50">
        <v>39</v>
      </c>
      <c r="U50">
        <v>0</v>
      </c>
      <c r="V50" s="3">
        <v>0</v>
      </c>
      <c r="W50" s="3">
        <v>7.7295000000000003E-2</v>
      </c>
      <c r="X50" s="3">
        <v>7.1834999999999996E-2</v>
      </c>
      <c r="Y50" s="3">
        <v>3.6699999999999998E-4</v>
      </c>
      <c r="Z50" s="3">
        <v>2.34E-4</v>
      </c>
      <c r="AA50" s="3">
        <v>0.75825399999999998</v>
      </c>
      <c r="AB50" s="3">
        <v>0.69472599999999995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17">
        <v>17.8862077</v>
      </c>
      <c r="AJ50" s="17">
        <v>41.29</v>
      </c>
      <c r="AL50" s="17">
        <v>242</v>
      </c>
      <c r="AM50">
        <v>0.41870000000000002</v>
      </c>
      <c r="AN50" s="10">
        <v>1737002882.4200001</v>
      </c>
      <c r="AO50" s="30">
        <f>tPanel_Export[[#This Row],[ASP_D_COUNT_PLAN]]+tPanel_Export[[#This Row],[C2C_COUNT_PLAN]]</f>
        <v>0</v>
      </c>
      <c r="AP50" s="30">
        <f>tPanel_Export[[#This Row],[ASP_D_COUNT_FACT]]+tPanel_Export[[#This Row],[C2C_COUNT_FACT]]</f>
        <v>39</v>
      </c>
      <c r="AQ50" s="1">
        <f>tPanel_Export[[#This Row],[MEDIUM_CHECK]]*tPanel_Export[[#This Row],[TOTAL_COUNT_FACT]]</f>
        <v>1148436338.5500011</v>
      </c>
      <c r="AR50" s="10">
        <f>YEAR(tPanel_Export[[#This Row],[DATE_TO]])</f>
        <v>2015</v>
      </c>
      <c r="AS50" s="1">
        <f>MONTH(tPanel_Export[[#This Row],[DATE_TO]])</f>
        <v>12</v>
      </c>
      <c r="AT50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0" s="1">
        <f>tPanel_Export[[#This Row],[STAVKAGP]]*tPanel_Export[[#This Row],[TOTAL_SUM_FACT]]</f>
        <v>20541170881.532814</v>
      </c>
      <c r="AV50" s="1">
        <f>tPanel_Export[[#This Row],[SROKKRED]]*tPanel_Export[[#This Row],[TOTAL_SUM_FACT]]</f>
        <v>47418936418.7295</v>
      </c>
      <c r="AW50" s="1">
        <f>tPanel_Export[[#This Row],[SV_PV]]*tPanel_Export[[#This Row],[VEHICLE_COST_RUR_AMT]]</f>
        <v>727283106.86925411</v>
      </c>
      <c r="AX50" s="1">
        <f>tPanel_Export[[#This Row],[VKASKO_PENET_SHT]]*tPanel_Export[[#This Row],[TOTAL_COUNT_FACT]]</f>
        <v>210.70617000000001</v>
      </c>
      <c r="AY50" s="1">
        <f>tPanel_Export[[#This Row],[VKASKO_PENET_RUB]]*tPanel_Export[[#This Row],[TOTAL_SUM_FACT]]</f>
        <v>82497924.37973924</v>
      </c>
      <c r="AZ50" s="1">
        <f>tPanel_Export[[#This Row],[MKASKO_PENET_SHT]]*tPanel_Export[[#This Row],[TOTAL_COUNT_FACT]]</f>
        <v>1.0004419999999998</v>
      </c>
      <c r="BA50" s="1">
        <f>tPanel_Export[[#This Row],[MKASKO_PENET_RUB]]*tPanel_Export[[#This Row],[TOTAL_SUM_FACT]]</f>
        <v>268734.1032207</v>
      </c>
      <c r="BB50" s="1">
        <f>tPanel_Export[[#This Row],[SJ_PENET_SHT]]*tPanel_Export[[#This Row],[TOTAL_COUNT_FACT]]</f>
        <v>2067.0004039999999</v>
      </c>
      <c r="BC50" s="1">
        <f>tPanel_Export[[#This Row],[SJ_PENET_RUB]]*tPanel_Export[[#This Row],[TOTAL_SUM_FACT]]</f>
        <v>797848583.73548722</v>
      </c>
      <c r="BD50" s="1">
        <f>tPanel_Export[[#This Row],[DKASKO_PENET_SHT]]*tPanel_Export[[#This Row],[TOTAL_COUNT_FACT]]</f>
        <v>0</v>
      </c>
      <c r="BE50" s="1">
        <f>tPanel_Export[[#This Row],[DKASKO_PENET_RUB]]*tPanel_Export[[#This Row],[TOTAL_SUM_FACT]]</f>
        <v>0</v>
      </c>
      <c r="BF50" s="1">
        <f>tPanel_Export[[#This Row],[RAMK_PENET_SHT]]*tPanel_Export[[#This Row],[TOTAL_COUNT_FACT]]</f>
        <v>0</v>
      </c>
      <c r="BG50" s="1">
        <f>tPanel_Export[[#This Row],[RAMK_PENET_RUB]]*tPanel_Export[[#This Row],[TOTAL_SUM_FACT]]</f>
        <v>0</v>
      </c>
      <c r="BH50" s="1">
        <f>tPanel_Export[[#This Row],[AVL_PENET_SHT]]*tPanel_Export[[#This Row],[TOTAL_COUNT_FACT]]</f>
        <v>0</v>
      </c>
      <c r="BI50" s="1">
        <f>tPanel_Export[[#This Row],[AVL_PENET_RUB]]*tPanel_Export[[#This Row],[TOTAL_SUM_FACT]]</f>
        <v>0</v>
      </c>
      <c r="BJ50" s="1">
        <f>1</f>
        <v>1</v>
      </c>
      <c r="BK50" s="32">
        <f>IFERROR(IF(VLOOKUP(tPanel_Export[[#This Row],[DATE_TO]],Extra2!A:C,3,0)="месяц закрыт",1,$BR$1),1)</f>
        <v>1</v>
      </c>
      <c r="BL50" s="1" t="str">
        <f>VLOOKUP(tPanel_Export[[#This Row],[MAK]],Curators!A:B,2,0)</f>
        <v>Кабдулин</v>
      </c>
    </row>
    <row r="51" spans="1:64" x14ac:dyDescent="0.25">
      <c r="A51" s="5">
        <v>42005</v>
      </c>
      <c r="B51" s="5">
        <v>42369</v>
      </c>
      <c r="C51" t="s">
        <v>42</v>
      </c>
      <c r="E51">
        <v>1668</v>
      </c>
      <c r="H51" s="1">
        <v>867052856.44000006</v>
      </c>
      <c r="J51" s="1">
        <v>519815.86117505998</v>
      </c>
      <c r="L51">
        <v>1029</v>
      </c>
      <c r="O51">
        <v>464</v>
      </c>
      <c r="R51">
        <v>52</v>
      </c>
      <c r="U51">
        <v>0</v>
      </c>
      <c r="V51" s="3">
        <v>0</v>
      </c>
      <c r="W51" s="3">
        <v>2.3948000000000001E-2</v>
      </c>
      <c r="X51" s="3">
        <v>2.0079E-2</v>
      </c>
      <c r="Y51" s="3">
        <v>2.398E-3</v>
      </c>
      <c r="Z51" s="3">
        <v>9.7E-5</v>
      </c>
      <c r="AA51" s="3">
        <v>0.62050399999999994</v>
      </c>
      <c r="AB51" s="3">
        <v>0.53647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17">
        <v>18.898433499999999</v>
      </c>
      <c r="AJ51" s="17">
        <v>46.16</v>
      </c>
      <c r="AL51" s="17">
        <v>123</v>
      </c>
      <c r="AM51">
        <v>0.43169999999999997</v>
      </c>
      <c r="AN51" s="10">
        <v>1392954020.55</v>
      </c>
      <c r="AO51" s="30">
        <f>tPanel_Export[[#This Row],[ASP_D_COUNT_PLAN]]+tPanel_Export[[#This Row],[C2C_COUNT_PLAN]]</f>
        <v>0</v>
      </c>
      <c r="AP51" s="30">
        <f>tPanel_Export[[#This Row],[ASP_D_COUNT_FACT]]+tPanel_Export[[#This Row],[C2C_COUNT_FACT]]</f>
        <v>52</v>
      </c>
      <c r="AQ51" s="1">
        <f>tPanel_Export[[#This Row],[MEDIUM_CHECK]]*tPanel_Export[[#This Row],[TOTAL_COUNT_FACT]]</f>
        <v>867052856.44000006</v>
      </c>
      <c r="AR51" s="10">
        <f>YEAR(tPanel_Export[[#This Row],[DATE_TO]])</f>
        <v>2015</v>
      </c>
      <c r="AS51" s="1">
        <f>MONTH(tPanel_Export[[#This Row],[DATE_TO]])</f>
        <v>12</v>
      </c>
      <c r="AT51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1" s="1">
        <f>tPanel_Export[[#This Row],[STAVKAGP]]*tPanel_Export[[#This Row],[TOTAL_SUM_FACT]]</f>
        <v>16385940748.416388</v>
      </c>
      <c r="AV51" s="1">
        <f>tPanel_Export[[#This Row],[SROKKRED]]*tPanel_Export[[#This Row],[TOTAL_SUM_FACT]]</f>
        <v>40023159853.270401</v>
      </c>
      <c r="AW51" s="1">
        <f>tPanel_Export[[#This Row],[SV_PV]]*tPanel_Export[[#This Row],[VEHICLE_COST_RUR_AMT]]</f>
        <v>601338250.671435</v>
      </c>
      <c r="AX51" s="1">
        <f>tPanel_Export[[#This Row],[VKASKO_PENET_SHT]]*tPanel_Export[[#This Row],[TOTAL_COUNT_FACT]]</f>
        <v>39.945264000000002</v>
      </c>
      <c r="AY51" s="1">
        <f>tPanel_Export[[#This Row],[VKASKO_PENET_RUB]]*tPanel_Export[[#This Row],[TOTAL_SUM_FACT]]</f>
        <v>17409554.30445876</v>
      </c>
      <c r="AZ51" s="1">
        <f>tPanel_Export[[#This Row],[MKASKO_PENET_SHT]]*tPanel_Export[[#This Row],[TOTAL_COUNT_FACT]]</f>
        <v>3.9998640000000001</v>
      </c>
      <c r="BA51" s="1">
        <f>tPanel_Export[[#This Row],[MKASKO_PENET_RUB]]*tPanel_Export[[#This Row],[TOTAL_SUM_FACT]]</f>
        <v>84104.12707468</v>
      </c>
      <c r="BB51" s="1">
        <f>tPanel_Export[[#This Row],[SJ_PENET_SHT]]*tPanel_Export[[#This Row],[TOTAL_COUNT_FACT]]</f>
        <v>1035.0006719999999</v>
      </c>
      <c r="BC51" s="1">
        <f>tPanel_Export[[#This Row],[SJ_PENET_RUB]]*tPanel_Export[[#This Row],[TOTAL_SUM_FACT]]</f>
        <v>465147845.89436686</v>
      </c>
      <c r="BD51" s="1">
        <f>tPanel_Export[[#This Row],[DKASKO_PENET_SHT]]*tPanel_Export[[#This Row],[TOTAL_COUNT_FACT]]</f>
        <v>0</v>
      </c>
      <c r="BE51" s="1">
        <f>tPanel_Export[[#This Row],[DKASKO_PENET_RUB]]*tPanel_Export[[#This Row],[TOTAL_SUM_FACT]]</f>
        <v>0</v>
      </c>
      <c r="BF51" s="1">
        <f>tPanel_Export[[#This Row],[RAMK_PENET_SHT]]*tPanel_Export[[#This Row],[TOTAL_COUNT_FACT]]</f>
        <v>0</v>
      </c>
      <c r="BG51" s="1">
        <f>tPanel_Export[[#This Row],[RAMK_PENET_RUB]]*tPanel_Export[[#This Row],[TOTAL_SUM_FACT]]</f>
        <v>0</v>
      </c>
      <c r="BH51" s="1">
        <f>tPanel_Export[[#This Row],[AVL_PENET_SHT]]*tPanel_Export[[#This Row],[TOTAL_COUNT_FACT]]</f>
        <v>0</v>
      </c>
      <c r="BI51" s="1">
        <f>tPanel_Export[[#This Row],[AVL_PENET_RUB]]*tPanel_Export[[#This Row],[TOTAL_SUM_FACT]]</f>
        <v>0</v>
      </c>
      <c r="BJ51" s="1">
        <f>1</f>
        <v>1</v>
      </c>
      <c r="BK51" s="32">
        <f>IFERROR(IF(VLOOKUP(tPanel_Export[[#This Row],[DATE_TO]],Extra2!A:C,3,0)="месяц закрыт",1,$BR$1),1)</f>
        <v>1</v>
      </c>
      <c r="BL51" s="1" t="str">
        <f>VLOOKUP(tPanel_Export[[#This Row],[MAK]],Curators!A:B,2,0)</f>
        <v>Иванов</v>
      </c>
    </row>
    <row r="52" spans="1:64" x14ac:dyDescent="0.25">
      <c r="A52" s="5">
        <v>42005</v>
      </c>
      <c r="B52" s="5">
        <v>42369</v>
      </c>
      <c r="C52" t="s">
        <v>34</v>
      </c>
      <c r="E52">
        <v>224</v>
      </c>
      <c r="H52" s="1">
        <v>114409951.27</v>
      </c>
      <c r="J52" s="1">
        <v>510758.71102678601</v>
      </c>
      <c r="L52">
        <v>127</v>
      </c>
      <c r="O52">
        <v>79</v>
      </c>
      <c r="R52">
        <v>11</v>
      </c>
      <c r="U52">
        <v>0</v>
      </c>
      <c r="V52" s="3">
        <v>0</v>
      </c>
      <c r="W52" s="3">
        <v>2.3040999999999999E-2</v>
      </c>
      <c r="X52" s="3">
        <v>1.8683999999999999E-2</v>
      </c>
      <c r="Y52" s="3">
        <v>0</v>
      </c>
      <c r="Z52" s="3">
        <v>0</v>
      </c>
      <c r="AA52" s="3">
        <v>0.73214299999999999</v>
      </c>
      <c r="AB52" s="3">
        <v>0.64170300000000002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17">
        <v>18.6769414</v>
      </c>
      <c r="AJ52" s="17">
        <v>45.6</v>
      </c>
      <c r="AL52" s="17">
        <v>7</v>
      </c>
      <c r="AM52">
        <v>0.4461</v>
      </c>
      <c r="AN52" s="10">
        <v>187946209.68000001</v>
      </c>
      <c r="AO52" s="30">
        <f>tPanel_Export[[#This Row],[ASP_D_COUNT_PLAN]]+tPanel_Export[[#This Row],[C2C_COUNT_PLAN]]</f>
        <v>0</v>
      </c>
      <c r="AP52" s="30">
        <f>tPanel_Export[[#This Row],[ASP_D_COUNT_FACT]]+tPanel_Export[[#This Row],[C2C_COUNT_FACT]]</f>
        <v>11</v>
      </c>
      <c r="AQ52" s="1">
        <f>tPanel_Export[[#This Row],[MEDIUM_CHECK]]*tPanel_Export[[#This Row],[TOTAL_COUNT_FACT]]</f>
        <v>114409951.27000007</v>
      </c>
      <c r="AR52" s="10">
        <f>YEAR(tPanel_Export[[#This Row],[DATE_TO]])</f>
        <v>2015</v>
      </c>
      <c r="AS52" s="1">
        <f>MONTH(tPanel_Export[[#This Row],[DATE_TO]])</f>
        <v>12</v>
      </c>
      <c r="AT5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2" s="1">
        <f>tPanel_Export[[#This Row],[STAVKAGP]]*tPanel_Export[[#This Row],[TOTAL_SUM_FACT]]</f>
        <v>2136827955.4466455</v>
      </c>
      <c r="AV52" s="1">
        <f>tPanel_Export[[#This Row],[SROKKRED]]*tPanel_Export[[#This Row],[TOTAL_SUM_FACT]]</f>
        <v>5217093777.9119997</v>
      </c>
      <c r="AW52" s="1">
        <f>tPanel_Export[[#This Row],[SV_PV]]*tPanel_Export[[#This Row],[VEHICLE_COST_RUR_AMT]]</f>
        <v>83842804.138247997</v>
      </c>
      <c r="AX52" s="1">
        <f>tPanel_Export[[#This Row],[VKASKO_PENET_SHT]]*tPanel_Export[[#This Row],[TOTAL_COUNT_FACT]]</f>
        <v>5.1611839999999995</v>
      </c>
      <c r="AY52" s="1">
        <f>tPanel_Export[[#This Row],[VKASKO_PENET_RUB]]*tPanel_Export[[#This Row],[TOTAL_SUM_FACT]]</f>
        <v>2137635.5295286798</v>
      </c>
      <c r="AZ52" s="1">
        <f>tPanel_Export[[#This Row],[MKASKO_PENET_SHT]]*tPanel_Export[[#This Row],[TOTAL_COUNT_FACT]]</f>
        <v>0</v>
      </c>
      <c r="BA52" s="1">
        <f>tPanel_Export[[#This Row],[MKASKO_PENET_RUB]]*tPanel_Export[[#This Row],[TOTAL_SUM_FACT]]</f>
        <v>0</v>
      </c>
      <c r="BB52" s="1">
        <f>tPanel_Export[[#This Row],[SJ_PENET_SHT]]*tPanel_Export[[#This Row],[TOTAL_COUNT_FACT]]</f>
        <v>164.000032</v>
      </c>
      <c r="BC52" s="1">
        <f>tPanel_Export[[#This Row],[SJ_PENET_RUB]]*tPanel_Export[[#This Row],[TOTAL_SUM_FACT]]</f>
        <v>73417208.959812805</v>
      </c>
      <c r="BD52" s="1">
        <f>tPanel_Export[[#This Row],[DKASKO_PENET_SHT]]*tPanel_Export[[#This Row],[TOTAL_COUNT_FACT]]</f>
        <v>0</v>
      </c>
      <c r="BE52" s="1">
        <f>tPanel_Export[[#This Row],[DKASKO_PENET_RUB]]*tPanel_Export[[#This Row],[TOTAL_SUM_FACT]]</f>
        <v>0</v>
      </c>
      <c r="BF52" s="1">
        <f>tPanel_Export[[#This Row],[RAMK_PENET_SHT]]*tPanel_Export[[#This Row],[TOTAL_COUNT_FACT]]</f>
        <v>0</v>
      </c>
      <c r="BG52" s="1">
        <f>tPanel_Export[[#This Row],[RAMK_PENET_RUB]]*tPanel_Export[[#This Row],[TOTAL_SUM_FACT]]</f>
        <v>0</v>
      </c>
      <c r="BH52" s="1">
        <f>tPanel_Export[[#This Row],[AVL_PENET_SHT]]*tPanel_Export[[#This Row],[TOTAL_COUNT_FACT]]</f>
        <v>0</v>
      </c>
      <c r="BI52" s="1">
        <f>tPanel_Export[[#This Row],[AVL_PENET_RUB]]*tPanel_Export[[#This Row],[TOTAL_SUM_FACT]]</f>
        <v>0</v>
      </c>
      <c r="BJ52" s="1">
        <f>1</f>
        <v>1</v>
      </c>
      <c r="BK52" s="32">
        <f>IFERROR(IF(VLOOKUP(tPanel_Export[[#This Row],[DATE_TO]],Extra2!A:C,3,0)="месяц закрыт",1,$BR$1),1)</f>
        <v>1</v>
      </c>
      <c r="BL52" s="1" t="str">
        <f>VLOOKUP(tPanel_Export[[#This Row],[MAK]],Curators!A:B,2,0)</f>
        <v>Капшук</v>
      </c>
    </row>
    <row r="53" spans="1:64" x14ac:dyDescent="0.25">
      <c r="A53" s="5">
        <v>42005</v>
      </c>
      <c r="B53" s="5">
        <v>42369</v>
      </c>
      <c r="C53" t="s">
        <v>188</v>
      </c>
      <c r="E53">
        <v>49</v>
      </c>
      <c r="H53" s="1">
        <v>31866533.940000001</v>
      </c>
      <c r="J53" s="1">
        <v>650337.42734693899</v>
      </c>
      <c r="L53">
        <v>25</v>
      </c>
      <c r="O53">
        <v>15</v>
      </c>
      <c r="R53">
        <v>6</v>
      </c>
      <c r="U5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0.36734699999999998</v>
      </c>
      <c r="AB53" s="3">
        <v>0.31765399999999999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17">
        <v>19.5182073</v>
      </c>
      <c r="AJ53" s="17">
        <v>48.91</v>
      </c>
      <c r="AL53" s="17">
        <v>3</v>
      </c>
      <c r="AM53">
        <v>0.40970000000000001</v>
      </c>
      <c r="AN53" s="10">
        <v>50727020.020000003</v>
      </c>
      <c r="AO53" s="30">
        <f>tPanel_Export[[#This Row],[ASP_D_COUNT_PLAN]]+tPanel_Export[[#This Row],[C2C_COUNT_PLAN]]</f>
        <v>0</v>
      </c>
      <c r="AP53" s="30">
        <f>tPanel_Export[[#This Row],[ASP_D_COUNT_FACT]]+tPanel_Export[[#This Row],[C2C_COUNT_FACT]]</f>
        <v>6</v>
      </c>
      <c r="AQ53" s="1">
        <f>tPanel_Export[[#This Row],[MEDIUM_CHECK]]*tPanel_Export[[#This Row],[TOTAL_COUNT_FACT]]</f>
        <v>31866533.940000009</v>
      </c>
      <c r="AR53" s="10">
        <f>YEAR(tPanel_Export[[#This Row],[DATE_TO]])</f>
        <v>2015</v>
      </c>
      <c r="AS53" s="1">
        <f>MONTH(tPanel_Export[[#This Row],[DATE_TO]])</f>
        <v>12</v>
      </c>
      <c r="AT5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3" s="1">
        <f>tPanel_Export[[#This Row],[STAVKAGP]]*tPanel_Export[[#This Row],[TOTAL_SUM_FACT]]</f>
        <v>621977615.37340581</v>
      </c>
      <c r="AV53" s="1">
        <f>tPanel_Export[[#This Row],[SROKKRED]]*tPanel_Export[[#This Row],[TOTAL_SUM_FACT]]</f>
        <v>1558592175.0053999</v>
      </c>
      <c r="AW53" s="1">
        <f>tPanel_Export[[#This Row],[SV_PV]]*tPanel_Export[[#This Row],[VEHICLE_COST_RUR_AMT]]</f>
        <v>20782860.102194</v>
      </c>
      <c r="AX53" s="1">
        <f>tPanel_Export[[#This Row],[VKASKO_PENET_SHT]]*tPanel_Export[[#This Row],[TOTAL_COUNT_FACT]]</f>
        <v>0</v>
      </c>
      <c r="AY53" s="1">
        <f>tPanel_Export[[#This Row],[VKASKO_PENET_RUB]]*tPanel_Export[[#This Row],[TOTAL_SUM_FACT]]</f>
        <v>0</v>
      </c>
      <c r="AZ53" s="1">
        <f>tPanel_Export[[#This Row],[MKASKO_PENET_SHT]]*tPanel_Export[[#This Row],[TOTAL_COUNT_FACT]]</f>
        <v>0</v>
      </c>
      <c r="BA53" s="1">
        <f>tPanel_Export[[#This Row],[MKASKO_PENET_RUB]]*tPanel_Export[[#This Row],[TOTAL_SUM_FACT]]</f>
        <v>0</v>
      </c>
      <c r="BB53" s="1">
        <f>tPanel_Export[[#This Row],[SJ_PENET_SHT]]*tPanel_Export[[#This Row],[TOTAL_COUNT_FACT]]</f>
        <v>18.000003</v>
      </c>
      <c r="BC53" s="1">
        <f>tPanel_Export[[#This Row],[SJ_PENET_RUB]]*tPanel_Export[[#This Row],[TOTAL_SUM_FACT]]</f>
        <v>10122531.97217676</v>
      </c>
      <c r="BD53" s="1">
        <f>tPanel_Export[[#This Row],[DKASKO_PENET_SHT]]*tPanel_Export[[#This Row],[TOTAL_COUNT_FACT]]</f>
        <v>0</v>
      </c>
      <c r="BE53" s="1">
        <f>tPanel_Export[[#This Row],[DKASKO_PENET_RUB]]*tPanel_Export[[#This Row],[TOTAL_SUM_FACT]]</f>
        <v>0</v>
      </c>
      <c r="BF53" s="1">
        <f>tPanel_Export[[#This Row],[RAMK_PENET_SHT]]*tPanel_Export[[#This Row],[TOTAL_COUNT_FACT]]</f>
        <v>0</v>
      </c>
      <c r="BG53" s="1">
        <f>tPanel_Export[[#This Row],[RAMK_PENET_RUB]]*tPanel_Export[[#This Row],[TOTAL_SUM_FACT]]</f>
        <v>0</v>
      </c>
      <c r="BH53" s="1">
        <f>tPanel_Export[[#This Row],[AVL_PENET_SHT]]*tPanel_Export[[#This Row],[TOTAL_COUNT_FACT]]</f>
        <v>0</v>
      </c>
      <c r="BI53" s="1">
        <f>tPanel_Export[[#This Row],[AVL_PENET_RUB]]*tPanel_Export[[#This Row],[TOTAL_SUM_FACT]]</f>
        <v>0</v>
      </c>
      <c r="BJ53" s="1">
        <f>1</f>
        <v>1</v>
      </c>
      <c r="BK53" s="32">
        <f>IFERROR(IF(VLOOKUP(tPanel_Export[[#This Row],[DATE_TO]],Extra2!A:C,3,0)="месяц закрыт",1,$BR$1),1)</f>
        <v>1</v>
      </c>
      <c r="BL53" s="1" t="str">
        <f>VLOOKUP(tPanel_Export[[#This Row],[MAK]],Curators!A:B,2,0)</f>
        <v>-</v>
      </c>
    </row>
    <row r="54" spans="1:64" x14ac:dyDescent="0.25">
      <c r="A54" s="5">
        <v>42005</v>
      </c>
      <c r="B54" s="5">
        <v>42369</v>
      </c>
      <c r="C54" t="s">
        <v>44</v>
      </c>
      <c r="E54">
        <v>5144</v>
      </c>
      <c r="H54" s="1">
        <v>1741142896.6900001</v>
      </c>
      <c r="J54" s="1">
        <v>338480.34539074602</v>
      </c>
      <c r="L54">
        <v>3406</v>
      </c>
      <c r="O54">
        <v>514</v>
      </c>
      <c r="R54">
        <v>32</v>
      </c>
      <c r="U54">
        <v>0</v>
      </c>
      <c r="V54" s="3">
        <v>0</v>
      </c>
      <c r="W54" s="3">
        <v>1.4676E-2</v>
      </c>
      <c r="X54" s="3">
        <v>1.2643E-2</v>
      </c>
      <c r="Y54" s="3">
        <v>0</v>
      </c>
      <c r="Z54" s="3">
        <v>0</v>
      </c>
      <c r="AA54" s="3">
        <v>0.80890399999999996</v>
      </c>
      <c r="AB54" s="3">
        <v>0.78265799999999996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17">
        <v>17.201105600000002</v>
      </c>
      <c r="AJ54" s="17">
        <v>38.9</v>
      </c>
      <c r="AL54" s="17">
        <v>1192</v>
      </c>
      <c r="AM54">
        <v>0.41610000000000003</v>
      </c>
      <c r="AN54" s="10">
        <v>2565951760.9000001</v>
      </c>
      <c r="AO54" s="30">
        <f>tPanel_Export[[#This Row],[ASP_D_COUNT_PLAN]]+tPanel_Export[[#This Row],[C2C_COUNT_PLAN]]</f>
        <v>0</v>
      </c>
      <c r="AP54" s="30">
        <f>tPanel_Export[[#This Row],[ASP_D_COUNT_FACT]]+tPanel_Export[[#This Row],[C2C_COUNT_FACT]]</f>
        <v>32</v>
      </c>
      <c r="AQ54" s="1">
        <f>tPanel_Export[[#This Row],[MEDIUM_CHECK]]*tPanel_Export[[#This Row],[TOTAL_COUNT_FACT]]</f>
        <v>1741142896.6899974</v>
      </c>
      <c r="AR54" s="10">
        <f>YEAR(tPanel_Export[[#This Row],[DATE_TO]])</f>
        <v>2015</v>
      </c>
      <c r="AS54" s="1">
        <f>MONTH(tPanel_Export[[#This Row],[DATE_TO]])</f>
        <v>12</v>
      </c>
      <c r="AT5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4" s="1">
        <f>tPanel_Export[[#This Row],[STAVKAGP]]*tPanel_Export[[#This Row],[TOTAL_SUM_FACT]]</f>
        <v>29949582830.654583</v>
      </c>
      <c r="AV54" s="1">
        <f>tPanel_Export[[#This Row],[SROKKRED]]*tPanel_Export[[#This Row],[TOTAL_SUM_FACT]]</f>
        <v>67730458681.240997</v>
      </c>
      <c r="AW54" s="1">
        <f>tPanel_Export[[#This Row],[SV_PV]]*tPanel_Export[[#This Row],[VEHICLE_COST_RUR_AMT]]</f>
        <v>1067692527.7104901</v>
      </c>
      <c r="AX54" s="1">
        <f>tPanel_Export[[#This Row],[VKASKO_PENET_SHT]]*tPanel_Export[[#This Row],[TOTAL_COUNT_FACT]]</f>
        <v>75.493343999999993</v>
      </c>
      <c r="AY54" s="1">
        <f>tPanel_Export[[#This Row],[VKASKO_PENET_RUB]]*tPanel_Export[[#This Row],[TOTAL_SUM_FACT]]</f>
        <v>22013269.642851669</v>
      </c>
      <c r="AZ54" s="1">
        <f>tPanel_Export[[#This Row],[MKASKO_PENET_SHT]]*tPanel_Export[[#This Row],[TOTAL_COUNT_FACT]]</f>
        <v>0</v>
      </c>
      <c r="BA54" s="1">
        <f>tPanel_Export[[#This Row],[MKASKO_PENET_RUB]]*tPanel_Export[[#This Row],[TOTAL_SUM_FACT]]</f>
        <v>0</v>
      </c>
      <c r="BB54" s="1">
        <f>tPanel_Export[[#This Row],[SJ_PENET_SHT]]*tPanel_Export[[#This Row],[TOTAL_COUNT_FACT]]</f>
        <v>4161.002176</v>
      </c>
      <c r="BC54" s="1">
        <f>tPanel_Export[[#This Row],[SJ_PENET_RUB]]*tPanel_Export[[#This Row],[TOTAL_SUM_FACT]]</f>
        <v>1362719417.237602</v>
      </c>
      <c r="BD54" s="1">
        <f>tPanel_Export[[#This Row],[DKASKO_PENET_SHT]]*tPanel_Export[[#This Row],[TOTAL_COUNT_FACT]]</f>
        <v>0</v>
      </c>
      <c r="BE54" s="1">
        <f>tPanel_Export[[#This Row],[DKASKO_PENET_RUB]]*tPanel_Export[[#This Row],[TOTAL_SUM_FACT]]</f>
        <v>0</v>
      </c>
      <c r="BF54" s="1">
        <f>tPanel_Export[[#This Row],[RAMK_PENET_SHT]]*tPanel_Export[[#This Row],[TOTAL_COUNT_FACT]]</f>
        <v>0</v>
      </c>
      <c r="BG54" s="1">
        <f>tPanel_Export[[#This Row],[RAMK_PENET_RUB]]*tPanel_Export[[#This Row],[TOTAL_SUM_FACT]]</f>
        <v>0</v>
      </c>
      <c r="BH54" s="1">
        <f>tPanel_Export[[#This Row],[AVL_PENET_SHT]]*tPanel_Export[[#This Row],[TOTAL_COUNT_FACT]]</f>
        <v>0</v>
      </c>
      <c r="BI54" s="1">
        <f>tPanel_Export[[#This Row],[AVL_PENET_RUB]]*tPanel_Export[[#This Row],[TOTAL_SUM_FACT]]</f>
        <v>0</v>
      </c>
      <c r="BJ54" s="1">
        <f>1</f>
        <v>1</v>
      </c>
      <c r="BK54" s="32">
        <f>IFERROR(IF(VLOOKUP(tPanel_Export[[#This Row],[DATE_TO]],Extra2!A:C,3,0)="месяц закрыт",1,$BR$1),1)</f>
        <v>1</v>
      </c>
      <c r="BL54" s="1" t="str">
        <f>VLOOKUP(tPanel_Export[[#This Row],[MAK]],Curators!A:B,2,0)</f>
        <v>Кашин</v>
      </c>
    </row>
    <row r="55" spans="1:64" x14ac:dyDescent="0.25">
      <c r="A55" s="5">
        <v>42005</v>
      </c>
      <c r="B55" s="5">
        <v>42369</v>
      </c>
      <c r="C55" t="s">
        <v>46</v>
      </c>
      <c r="E55">
        <v>279</v>
      </c>
      <c r="H55" s="1">
        <v>107580310.03</v>
      </c>
      <c r="J55" s="1">
        <v>385592.50906810001</v>
      </c>
      <c r="L55">
        <v>199</v>
      </c>
      <c r="O55">
        <v>54</v>
      </c>
      <c r="R55">
        <v>6</v>
      </c>
      <c r="U55">
        <v>0</v>
      </c>
      <c r="V55" s="3">
        <v>0</v>
      </c>
      <c r="W55" s="3">
        <v>0.108108</v>
      </c>
      <c r="X55" s="3">
        <v>9.4298999999999994E-2</v>
      </c>
      <c r="Y55" s="3">
        <v>0</v>
      </c>
      <c r="Z55" s="3">
        <v>0</v>
      </c>
      <c r="AA55" s="3">
        <v>0.64874600000000004</v>
      </c>
      <c r="AB55" s="3">
        <v>0.52122199999999996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17">
        <v>18.482351699999999</v>
      </c>
      <c r="AJ55" s="17">
        <v>42.73</v>
      </c>
      <c r="AL55" s="17">
        <v>20</v>
      </c>
      <c r="AM55">
        <v>0.43340000000000001</v>
      </c>
      <c r="AN55" s="10">
        <v>173827738.47999999</v>
      </c>
      <c r="AO55" s="30">
        <f>tPanel_Export[[#This Row],[ASP_D_COUNT_PLAN]]+tPanel_Export[[#This Row],[C2C_COUNT_PLAN]]</f>
        <v>0</v>
      </c>
      <c r="AP55" s="30">
        <f>tPanel_Export[[#This Row],[ASP_D_COUNT_FACT]]+tPanel_Export[[#This Row],[C2C_COUNT_FACT]]</f>
        <v>6</v>
      </c>
      <c r="AQ55" s="1">
        <f>tPanel_Export[[#This Row],[MEDIUM_CHECK]]*tPanel_Export[[#This Row],[TOTAL_COUNT_FACT]]</f>
        <v>107580310.0299999</v>
      </c>
      <c r="AR55" s="10">
        <f>YEAR(tPanel_Export[[#This Row],[DATE_TO]])</f>
        <v>2015</v>
      </c>
      <c r="AS55" s="1">
        <f>MONTH(tPanel_Export[[#This Row],[DATE_TO]])</f>
        <v>12</v>
      </c>
      <c r="AT5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5" s="1">
        <f>tPanel_Export[[#This Row],[STAVKAGP]]*tPanel_Export[[#This Row],[TOTAL_SUM_FACT]]</f>
        <v>1988337125.9694974</v>
      </c>
      <c r="AV55" s="1">
        <f>tPanel_Export[[#This Row],[SROKKRED]]*tPanel_Export[[#This Row],[TOTAL_SUM_FACT]]</f>
        <v>4596906647.5818996</v>
      </c>
      <c r="AW55" s="1">
        <f>tPanel_Export[[#This Row],[SV_PV]]*tPanel_Export[[#This Row],[VEHICLE_COST_RUR_AMT]]</f>
        <v>75336941.85723199</v>
      </c>
      <c r="AX55" s="1">
        <f>tPanel_Export[[#This Row],[VKASKO_PENET_SHT]]*tPanel_Export[[#This Row],[TOTAL_COUNT_FACT]]</f>
        <v>30.162132</v>
      </c>
      <c r="AY55" s="1">
        <f>tPanel_Export[[#This Row],[VKASKO_PENET_RUB]]*tPanel_Export[[#This Row],[TOTAL_SUM_FACT]]</f>
        <v>10144715.65551897</v>
      </c>
      <c r="AZ55" s="1">
        <f>tPanel_Export[[#This Row],[MKASKO_PENET_SHT]]*tPanel_Export[[#This Row],[TOTAL_COUNT_FACT]]</f>
        <v>0</v>
      </c>
      <c r="BA55" s="1">
        <f>tPanel_Export[[#This Row],[MKASKO_PENET_RUB]]*tPanel_Export[[#This Row],[TOTAL_SUM_FACT]]</f>
        <v>0</v>
      </c>
      <c r="BB55" s="1">
        <f>tPanel_Export[[#This Row],[SJ_PENET_SHT]]*tPanel_Export[[#This Row],[TOTAL_COUNT_FACT]]</f>
        <v>181.000134</v>
      </c>
      <c r="BC55" s="1">
        <f>tPanel_Export[[#This Row],[SJ_PENET_RUB]]*tPanel_Export[[#This Row],[TOTAL_SUM_FACT]]</f>
        <v>56073224.354456656</v>
      </c>
      <c r="BD55" s="1">
        <f>tPanel_Export[[#This Row],[DKASKO_PENET_SHT]]*tPanel_Export[[#This Row],[TOTAL_COUNT_FACT]]</f>
        <v>0</v>
      </c>
      <c r="BE55" s="1">
        <f>tPanel_Export[[#This Row],[DKASKO_PENET_RUB]]*tPanel_Export[[#This Row],[TOTAL_SUM_FACT]]</f>
        <v>0</v>
      </c>
      <c r="BF55" s="1">
        <f>tPanel_Export[[#This Row],[RAMK_PENET_SHT]]*tPanel_Export[[#This Row],[TOTAL_COUNT_FACT]]</f>
        <v>0</v>
      </c>
      <c r="BG55" s="1">
        <f>tPanel_Export[[#This Row],[RAMK_PENET_RUB]]*tPanel_Export[[#This Row],[TOTAL_SUM_FACT]]</f>
        <v>0</v>
      </c>
      <c r="BH55" s="1">
        <f>tPanel_Export[[#This Row],[AVL_PENET_SHT]]*tPanel_Export[[#This Row],[TOTAL_COUNT_FACT]]</f>
        <v>0</v>
      </c>
      <c r="BI55" s="1">
        <f>tPanel_Export[[#This Row],[AVL_PENET_RUB]]*tPanel_Export[[#This Row],[TOTAL_SUM_FACT]]</f>
        <v>0</v>
      </c>
      <c r="BJ55" s="1">
        <f>1</f>
        <v>1</v>
      </c>
      <c r="BK55" s="32">
        <f>IFERROR(IF(VLOOKUP(tPanel_Export[[#This Row],[DATE_TO]],Extra2!A:C,3,0)="месяц закрыт",1,$BR$1),1)</f>
        <v>1</v>
      </c>
      <c r="BL55" s="1" t="str">
        <f>VLOOKUP(tPanel_Export[[#This Row],[MAK]],Curators!A:B,2,0)</f>
        <v>Чаусов</v>
      </c>
    </row>
    <row r="56" spans="1:64" x14ac:dyDescent="0.25">
      <c r="A56" s="5">
        <v>42005</v>
      </c>
      <c r="B56" s="5">
        <v>42369</v>
      </c>
      <c r="C56" t="s">
        <v>6</v>
      </c>
      <c r="E56">
        <v>403</v>
      </c>
      <c r="H56" s="1">
        <v>212897469.99000001</v>
      </c>
      <c r="J56" s="1">
        <v>528281.56325062003</v>
      </c>
      <c r="L56">
        <v>243</v>
      </c>
      <c r="O56">
        <v>128</v>
      </c>
      <c r="R56">
        <v>12</v>
      </c>
      <c r="U56">
        <v>0</v>
      </c>
      <c r="V56" s="3">
        <v>0</v>
      </c>
      <c r="W56" s="3">
        <v>5.7440999999999999E-2</v>
      </c>
      <c r="X56" s="3">
        <v>4.6788999999999997E-2</v>
      </c>
      <c r="Y56" s="3">
        <v>0</v>
      </c>
      <c r="Z56" s="3">
        <v>0</v>
      </c>
      <c r="AA56" s="3">
        <v>0.67245699999999997</v>
      </c>
      <c r="AB56" s="3">
        <v>0.604688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17">
        <v>18.101681200000002</v>
      </c>
      <c r="AJ56" s="17">
        <v>45.5</v>
      </c>
      <c r="AL56" s="17">
        <v>20</v>
      </c>
      <c r="AM56">
        <v>0.42870000000000003</v>
      </c>
      <c r="AN56" s="10">
        <v>337203662.20999998</v>
      </c>
      <c r="AO56" s="30">
        <f>tPanel_Export[[#This Row],[ASP_D_COUNT_PLAN]]+tPanel_Export[[#This Row],[C2C_COUNT_PLAN]]</f>
        <v>0</v>
      </c>
      <c r="AP56" s="30">
        <f>tPanel_Export[[#This Row],[ASP_D_COUNT_FACT]]+tPanel_Export[[#This Row],[C2C_COUNT_FACT]]</f>
        <v>12</v>
      </c>
      <c r="AQ56" s="1">
        <f>tPanel_Export[[#This Row],[MEDIUM_CHECK]]*tPanel_Export[[#This Row],[TOTAL_COUNT_FACT]]</f>
        <v>212897469.98999986</v>
      </c>
      <c r="AR56" s="10">
        <f>YEAR(tPanel_Export[[#This Row],[DATE_TO]])</f>
        <v>2015</v>
      </c>
      <c r="AS56" s="1">
        <f>MONTH(tPanel_Export[[#This Row],[DATE_TO]])</f>
        <v>12</v>
      </c>
      <c r="AT56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6" s="1">
        <f>tPanel_Export[[#This Row],[STAVKAGP]]*tPanel_Export[[#This Row],[TOTAL_SUM_FACT]]</f>
        <v>3853802130.0455475</v>
      </c>
      <c r="AV56" s="1">
        <f>tPanel_Export[[#This Row],[SROKKRED]]*tPanel_Export[[#This Row],[TOTAL_SUM_FACT]]</f>
        <v>9686834884.5450001</v>
      </c>
      <c r="AW56" s="1">
        <f>tPanel_Export[[#This Row],[SV_PV]]*tPanel_Export[[#This Row],[VEHICLE_COST_RUR_AMT]]</f>
        <v>144559209.989427</v>
      </c>
      <c r="AX56" s="1">
        <f>tPanel_Export[[#This Row],[VKASKO_PENET_SHT]]*tPanel_Export[[#This Row],[TOTAL_COUNT_FACT]]</f>
        <v>23.148723</v>
      </c>
      <c r="AY56" s="1">
        <f>tPanel_Export[[#This Row],[VKASKO_PENET_RUB]]*tPanel_Export[[#This Row],[TOTAL_SUM_FACT]]</f>
        <v>9961259.7233621106</v>
      </c>
      <c r="AZ56" s="1">
        <f>tPanel_Export[[#This Row],[MKASKO_PENET_SHT]]*tPanel_Export[[#This Row],[TOTAL_COUNT_FACT]]</f>
        <v>0</v>
      </c>
      <c r="BA56" s="1">
        <f>tPanel_Export[[#This Row],[MKASKO_PENET_RUB]]*tPanel_Export[[#This Row],[TOTAL_SUM_FACT]]</f>
        <v>0</v>
      </c>
      <c r="BB56" s="1">
        <f>tPanel_Export[[#This Row],[SJ_PENET_SHT]]*tPanel_Export[[#This Row],[TOTAL_COUNT_FACT]]</f>
        <v>271.00017099999997</v>
      </c>
      <c r="BC56" s="1">
        <f>tPanel_Export[[#This Row],[SJ_PENET_RUB]]*tPanel_Export[[#This Row],[TOTAL_SUM_FACT]]</f>
        <v>128736545.33331312</v>
      </c>
      <c r="BD56" s="1">
        <f>tPanel_Export[[#This Row],[DKASKO_PENET_SHT]]*tPanel_Export[[#This Row],[TOTAL_COUNT_FACT]]</f>
        <v>0</v>
      </c>
      <c r="BE56" s="1">
        <f>tPanel_Export[[#This Row],[DKASKO_PENET_RUB]]*tPanel_Export[[#This Row],[TOTAL_SUM_FACT]]</f>
        <v>0</v>
      </c>
      <c r="BF56" s="1">
        <f>tPanel_Export[[#This Row],[RAMK_PENET_SHT]]*tPanel_Export[[#This Row],[TOTAL_COUNT_FACT]]</f>
        <v>0</v>
      </c>
      <c r="BG56" s="1">
        <f>tPanel_Export[[#This Row],[RAMK_PENET_RUB]]*tPanel_Export[[#This Row],[TOTAL_SUM_FACT]]</f>
        <v>0</v>
      </c>
      <c r="BH56" s="1">
        <f>tPanel_Export[[#This Row],[AVL_PENET_SHT]]*tPanel_Export[[#This Row],[TOTAL_COUNT_FACT]]</f>
        <v>0</v>
      </c>
      <c r="BI56" s="1">
        <f>tPanel_Export[[#This Row],[AVL_PENET_RUB]]*tPanel_Export[[#This Row],[TOTAL_SUM_FACT]]</f>
        <v>0</v>
      </c>
      <c r="BJ56" s="1">
        <f>1</f>
        <v>1</v>
      </c>
      <c r="BK56" s="32">
        <f>IFERROR(IF(VLOOKUP(tPanel_Export[[#This Row],[DATE_TO]],Extra2!A:C,3,0)="месяц закрыт",1,$BR$1),1)</f>
        <v>1</v>
      </c>
      <c r="BL56" s="1" t="str">
        <f>VLOOKUP(tPanel_Export[[#This Row],[MAK]],Curators!A:B,2,0)</f>
        <v>Иванов</v>
      </c>
    </row>
    <row r="57" spans="1:64" x14ac:dyDescent="0.25">
      <c r="A57" s="5">
        <v>42005</v>
      </c>
      <c r="B57" s="5">
        <v>42369</v>
      </c>
      <c r="C57" t="s">
        <v>61</v>
      </c>
      <c r="E57">
        <v>208</v>
      </c>
      <c r="H57" s="1">
        <v>90427439.609999999</v>
      </c>
      <c r="J57" s="1">
        <v>434747.30581730802</v>
      </c>
      <c r="L57">
        <v>144</v>
      </c>
      <c r="O57">
        <v>37</v>
      </c>
      <c r="R57">
        <v>6</v>
      </c>
      <c r="U57">
        <v>0</v>
      </c>
      <c r="V57" s="3">
        <v>0</v>
      </c>
      <c r="W57" s="3">
        <v>3.2086000000000003E-2</v>
      </c>
      <c r="X57" s="3">
        <v>3.6317000000000002E-2</v>
      </c>
      <c r="Y57" s="3">
        <v>0</v>
      </c>
      <c r="Z57" s="3">
        <v>0</v>
      </c>
      <c r="AA57" s="3">
        <v>0.71634600000000004</v>
      </c>
      <c r="AB57" s="3">
        <v>0.67184500000000003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17">
        <v>18.266019</v>
      </c>
      <c r="AJ57" s="17">
        <v>43.24</v>
      </c>
      <c r="AL57" s="17">
        <v>21</v>
      </c>
      <c r="AM57">
        <v>0.39639999999999997</v>
      </c>
      <c r="AN57" s="10">
        <v>133683036.53</v>
      </c>
      <c r="AO57" s="30">
        <f>tPanel_Export[[#This Row],[ASP_D_COUNT_PLAN]]+tPanel_Export[[#This Row],[C2C_COUNT_PLAN]]</f>
        <v>0</v>
      </c>
      <c r="AP57" s="30">
        <f>tPanel_Export[[#This Row],[ASP_D_COUNT_FACT]]+tPanel_Export[[#This Row],[C2C_COUNT_FACT]]</f>
        <v>6</v>
      </c>
      <c r="AQ57" s="1">
        <f>tPanel_Export[[#This Row],[MEDIUM_CHECK]]*tPanel_Export[[#This Row],[TOTAL_COUNT_FACT]]</f>
        <v>90427439.610000074</v>
      </c>
      <c r="AR57" s="10">
        <f>YEAR(tPanel_Export[[#This Row],[DATE_TO]])</f>
        <v>2015</v>
      </c>
      <c r="AS57" s="1">
        <f>MONTH(tPanel_Export[[#This Row],[DATE_TO]])</f>
        <v>12</v>
      </c>
      <c r="AT57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7" s="1">
        <f>tPanel_Export[[#This Row],[STAVKAGP]]*tPanel_Export[[#This Row],[TOTAL_SUM_FACT]]</f>
        <v>1651749330.0376127</v>
      </c>
      <c r="AV57" s="1">
        <f>tPanel_Export[[#This Row],[SROKKRED]]*tPanel_Export[[#This Row],[TOTAL_SUM_FACT]]</f>
        <v>3910082488.7364001</v>
      </c>
      <c r="AW57" s="1">
        <f>tPanel_Export[[#This Row],[SV_PV]]*tPanel_Export[[#This Row],[VEHICLE_COST_RUR_AMT]]</f>
        <v>52991955.680491999</v>
      </c>
      <c r="AX57" s="1">
        <f>tPanel_Export[[#This Row],[VKASKO_PENET_SHT]]*tPanel_Export[[#This Row],[TOTAL_COUNT_FACT]]</f>
        <v>6.6738880000000007</v>
      </c>
      <c r="AY57" s="1">
        <f>tPanel_Export[[#This Row],[VKASKO_PENET_RUB]]*tPanel_Export[[#This Row],[TOTAL_SUM_FACT]]</f>
        <v>3284053.3243163703</v>
      </c>
      <c r="AZ57" s="1">
        <f>tPanel_Export[[#This Row],[MKASKO_PENET_SHT]]*tPanel_Export[[#This Row],[TOTAL_COUNT_FACT]]</f>
        <v>0</v>
      </c>
      <c r="BA57" s="1">
        <f>tPanel_Export[[#This Row],[MKASKO_PENET_RUB]]*tPanel_Export[[#This Row],[TOTAL_SUM_FACT]]</f>
        <v>0</v>
      </c>
      <c r="BB57" s="1">
        <f>tPanel_Export[[#This Row],[SJ_PENET_SHT]]*tPanel_Export[[#This Row],[TOTAL_COUNT_FACT]]</f>
        <v>148.999968</v>
      </c>
      <c r="BC57" s="1">
        <f>tPanel_Export[[#This Row],[SJ_PENET_RUB]]*tPanel_Export[[#This Row],[TOTAL_SUM_FACT]]</f>
        <v>60753223.164780453</v>
      </c>
      <c r="BD57" s="1">
        <f>tPanel_Export[[#This Row],[DKASKO_PENET_SHT]]*tPanel_Export[[#This Row],[TOTAL_COUNT_FACT]]</f>
        <v>0</v>
      </c>
      <c r="BE57" s="1">
        <f>tPanel_Export[[#This Row],[DKASKO_PENET_RUB]]*tPanel_Export[[#This Row],[TOTAL_SUM_FACT]]</f>
        <v>0</v>
      </c>
      <c r="BF57" s="1">
        <f>tPanel_Export[[#This Row],[RAMK_PENET_SHT]]*tPanel_Export[[#This Row],[TOTAL_COUNT_FACT]]</f>
        <v>0</v>
      </c>
      <c r="BG57" s="1">
        <f>tPanel_Export[[#This Row],[RAMK_PENET_RUB]]*tPanel_Export[[#This Row],[TOTAL_SUM_FACT]]</f>
        <v>0</v>
      </c>
      <c r="BH57" s="1">
        <f>tPanel_Export[[#This Row],[AVL_PENET_SHT]]*tPanel_Export[[#This Row],[TOTAL_COUNT_FACT]]</f>
        <v>0</v>
      </c>
      <c r="BI57" s="1">
        <f>tPanel_Export[[#This Row],[AVL_PENET_RUB]]*tPanel_Export[[#This Row],[TOTAL_SUM_FACT]]</f>
        <v>0</v>
      </c>
      <c r="BJ57" s="1">
        <f>1</f>
        <v>1</v>
      </c>
      <c r="BK57" s="32">
        <f>IFERROR(IF(VLOOKUP(tPanel_Export[[#This Row],[DATE_TO]],Extra2!A:C,3,0)="месяц закрыт",1,$BR$1),1)</f>
        <v>1</v>
      </c>
      <c r="BL57" s="1" t="str">
        <f>VLOOKUP(tPanel_Export[[#This Row],[MAK]],Curators!A:B,2,0)</f>
        <v>Капшук</v>
      </c>
    </row>
    <row r="58" spans="1:64" x14ac:dyDescent="0.25">
      <c r="A58" s="5">
        <v>42005</v>
      </c>
      <c r="B58" s="5">
        <v>42369</v>
      </c>
      <c r="C58" t="s">
        <v>43</v>
      </c>
      <c r="E58">
        <v>1573</v>
      </c>
      <c r="H58" s="1">
        <v>664649843.89999998</v>
      </c>
      <c r="J58" s="1">
        <v>422536.45511760999</v>
      </c>
      <c r="L58">
        <v>1083</v>
      </c>
      <c r="O58">
        <v>322</v>
      </c>
      <c r="R58">
        <v>10</v>
      </c>
      <c r="U58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0.69930099999999995</v>
      </c>
      <c r="AB58" s="3">
        <v>0.60380500000000004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17">
        <v>18.1434645</v>
      </c>
      <c r="AJ58" s="17">
        <v>42.3</v>
      </c>
      <c r="AL58" s="17">
        <v>158</v>
      </c>
      <c r="AM58">
        <v>0.47089999999999999</v>
      </c>
      <c r="AN58" s="10">
        <v>1144959098.02</v>
      </c>
      <c r="AO58" s="30">
        <f>tPanel_Export[[#This Row],[ASP_D_COUNT_PLAN]]+tPanel_Export[[#This Row],[C2C_COUNT_PLAN]]</f>
        <v>0</v>
      </c>
      <c r="AP58" s="30">
        <f>tPanel_Export[[#This Row],[ASP_D_COUNT_FACT]]+tPanel_Export[[#This Row],[C2C_COUNT_FACT]]</f>
        <v>10</v>
      </c>
      <c r="AQ58" s="1">
        <f>tPanel_Export[[#This Row],[MEDIUM_CHECK]]*tPanel_Export[[#This Row],[TOTAL_COUNT_FACT]]</f>
        <v>664649843.90000057</v>
      </c>
      <c r="AR58" s="10">
        <f>YEAR(tPanel_Export[[#This Row],[DATE_TO]])</f>
        <v>2015</v>
      </c>
      <c r="AS58" s="1">
        <f>MONTH(tPanel_Export[[#This Row],[DATE_TO]])</f>
        <v>12</v>
      </c>
      <c r="AT58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8" s="1">
        <f>tPanel_Export[[#This Row],[STAVKAGP]]*tPanel_Export[[#This Row],[TOTAL_SUM_FACT]]</f>
        <v>12059050847.730192</v>
      </c>
      <c r="AV58" s="1">
        <f>tPanel_Export[[#This Row],[SROKKRED]]*tPanel_Export[[#This Row],[TOTAL_SUM_FACT]]</f>
        <v>28114688396.969997</v>
      </c>
      <c r="AW58" s="1">
        <f>tPanel_Export[[#This Row],[SV_PV]]*tPanel_Export[[#This Row],[VEHICLE_COST_RUR_AMT]]</f>
        <v>539161239.25761795</v>
      </c>
      <c r="AX58" s="1">
        <f>tPanel_Export[[#This Row],[VKASKO_PENET_SHT]]*tPanel_Export[[#This Row],[TOTAL_COUNT_FACT]]</f>
        <v>0</v>
      </c>
      <c r="AY58" s="1">
        <f>tPanel_Export[[#This Row],[VKASKO_PENET_RUB]]*tPanel_Export[[#This Row],[TOTAL_SUM_FACT]]</f>
        <v>0</v>
      </c>
      <c r="AZ58" s="1">
        <f>tPanel_Export[[#This Row],[MKASKO_PENET_SHT]]*tPanel_Export[[#This Row],[TOTAL_COUNT_FACT]]</f>
        <v>0</v>
      </c>
      <c r="BA58" s="1">
        <f>tPanel_Export[[#This Row],[MKASKO_PENET_RUB]]*tPanel_Export[[#This Row],[TOTAL_SUM_FACT]]</f>
        <v>0</v>
      </c>
      <c r="BB58" s="1">
        <f>tPanel_Export[[#This Row],[SJ_PENET_SHT]]*tPanel_Export[[#This Row],[TOTAL_COUNT_FACT]]</f>
        <v>1100.0004729999998</v>
      </c>
      <c r="BC58" s="1">
        <f>tPanel_Export[[#This Row],[SJ_PENET_RUB]]*tPanel_Export[[#This Row],[TOTAL_SUM_FACT]]</f>
        <v>401318898.99603951</v>
      </c>
      <c r="BD58" s="1">
        <f>tPanel_Export[[#This Row],[DKASKO_PENET_SHT]]*tPanel_Export[[#This Row],[TOTAL_COUNT_FACT]]</f>
        <v>0</v>
      </c>
      <c r="BE58" s="1">
        <f>tPanel_Export[[#This Row],[DKASKO_PENET_RUB]]*tPanel_Export[[#This Row],[TOTAL_SUM_FACT]]</f>
        <v>0</v>
      </c>
      <c r="BF58" s="1">
        <f>tPanel_Export[[#This Row],[RAMK_PENET_SHT]]*tPanel_Export[[#This Row],[TOTAL_COUNT_FACT]]</f>
        <v>0</v>
      </c>
      <c r="BG58" s="1">
        <f>tPanel_Export[[#This Row],[RAMK_PENET_RUB]]*tPanel_Export[[#This Row],[TOTAL_SUM_FACT]]</f>
        <v>0</v>
      </c>
      <c r="BH58" s="1">
        <f>tPanel_Export[[#This Row],[AVL_PENET_SHT]]*tPanel_Export[[#This Row],[TOTAL_COUNT_FACT]]</f>
        <v>0</v>
      </c>
      <c r="BI58" s="1">
        <f>tPanel_Export[[#This Row],[AVL_PENET_RUB]]*tPanel_Export[[#This Row],[TOTAL_SUM_FACT]]</f>
        <v>0</v>
      </c>
      <c r="BJ58" s="1">
        <f>1</f>
        <v>1</v>
      </c>
      <c r="BK58" s="32">
        <f>IFERROR(IF(VLOOKUP(tPanel_Export[[#This Row],[DATE_TO]],Extra2!A:C,3,0)="месяц закрыт",1,$BR$1),1)</f>
        <v>1</v>
      </c>
      <c r="BL58" s="1" t="str">
        <f>VLOOKUP(tPanel_Export[[#This Row],[MAK]],Curators!A:B,2,0)</f>
        <v>Иванов</v>
      </c>
    </row>
    <row r="59" spans="1:64" x14ac:dyDescent="0.25">
      <c r="A59" s="5">
        <v>42005</v>
      </c>
      <c r="B59" s="5">
        <v>42369</v>
      </c>
      <c r="C59" t="s">
        <v>26</v>
      </c>
      <c r="E59">
        <v>1639</v>
      </c>
      <c r="H59" s="1">
        <v>568689192.63999999</v>
      </c>
      <c r="J59" s="1">
        <v>346973.27189749799</v>
      </c>
      <c r="L59">
        <v>1001</v>
      </c>
      <c r="O59">
        <v>253</v>
      </c>
      <c r="R59">
        <v>15</v>
      </c>
      <c r="U59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0.79011600000000004</v>
      </c>
      <c r="AB59" s="3">
        <v>0.67612700000000003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17">
        <v>18.929473900000001</v>
      </c>
      <c r="AJ59" s="17">
        <v>42.36</v>
      </c>
      <c r="AL59" s="17">
        <v>370</v>
      </c>
      <c r="AM59">
        <v>0.41249999999999998</v>
      </c>
      <c r="AN59" s="10">
        <v>861346273.62</v>
      </c>
      <c r="AO59" s="30">
        <f>tPanel_Export[[#This Row],[ASP_D_COUNT_PLAN]]+tPanel_Export[[#This Row],[C2C_COUNT_PLAN]]</f>
        <v>0</v>
      </c>
      <c r="AP59" s="30">
        <f>tPanel_Export[[#This Row],[ASP_D_COUNT_FACT]]+tPanel_Export[[#This Row],[C2C_COUNT_FACT]]</f>
        <v>15</v>
      </c>
      <c r="AQ59" s="1">
        <f>tPanel_Export[[#This Row],[MEDIUM_CHECK]]*tPanel_Export[[#This Row],[TOTAL_COUNT_FACT]]</f>
        <v>568689192.63999927</v>
      </c>
      <c r="AR59" s="10">
        <f>YEAR(tPanel_Export[[#This Row],[DATE_TO]])</f>
        <v>2015</v>
      </c>
      <c r="AS59" s="1">
        <f>MONTH(tPanel_Export[[#This Row],[DATE_TO]])</f>
        <v>12</v>
      </c>
      <c r="AT59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59" s="1">
        <f>tPanel_Export[[#This Row],[STAVKAGP]]*tPanel_Export[[#This Row],[TOTAL_SUM_FACT]]</f>
        <v>10764987229.290953</v>
      </c>
      <c r="AV59" s="1">
        <f>tPanel_Export[[#This Row],[SROKKRED]]*tPanel_Export[[#This Row],[TOTAL_SUM_FACT]]</f>
        <v>24089674200.2304</v>
      </c>
      <c r="AW59" s="1">
        <f>tPanel_Export[[#This Row],[SV_PV]]*tPanel_Export[[#This Row],[VEHICLE_COST_RUR_AMT]]</f>
        <v>355305337.86825001</v>
      </c>
      <c r="AX59" s="1">
        <f>tPanel_Export[[#This Row],[VKASKO_PENET_SHT]]*tPanel_Export[[#This Row],[TOTAL_COUNT_FACT]]</f>
        <v>0</v>
      </c>
      <c r="AY59" s="1">
        <f>tPanel_Export[[#This Row],[VKASKO_PENET_RUB]]*tPanel_Export[[#This Row],[TOTAL_SUM_FACT]]</f>
        <v>0</v>
      </c>
      <c r="AZ59" s="1">
        <f>tPanel_Export[[#This Row],[MKASKO_PENET_SHT]]*tPanel_Export[[#This Row],[TOTAL_COUNT_FACT]]</f>
        <v>0</v>
      </c>
      <c r="BA59" s="1">
        <f>tPanel_Export[[#This Row],[MKASKO_PENET_RUB]]*tPanel_Export[[#This Row],[TOTAL_SUM_FACT]]</f>
        <v>0</v>
      </c>
      <c r="BB59" s="1">
        <f>tPanel_Export[[#This Row],[SJ_PENET_SHT]]*tPanel_Export[[#This Row],[TOTAL_COUNT_FACT]]</f>
        <v>1295.0001240000001</v>
      </c>
      <c r="BC59" s="1">
        <f>tPanel_Export[[#This Row],[SJ_PENET_RUB]]*tPanel_Export[[#This Row],[TOTAL_SUM_FACT]]</f>
        <v>384506117.7521053</v>
      </c>
      <c r="BD59" s="1">
        <f>tPanel_Export[[#This Row],[DKASKO_PENET_SHT]]*tPanel_Export[[#This Row],[TOTAL_COUNT_FACT]]</f>
        <v>0</v>
      </c>
      <c r="BE59" s="1">
        <f>tPanel_Export[[#This Row],[DKASKO_PENET_RUB]]*tPanel_Export[[#This Row],[TOTAL_SUM_FACT]]</f>
        <v>0</v>
      </c>
      <c r="BF59" s="1">
        <f>tPanel_Export[[#This Row],[RAMK_PENET_SHT]]*tPanel_Export[[#This Row],[TOTAL_COUNT_FACT]]</f>
        <v>0</v>
      </c>
      <c r="BG59" s="1">
        <f>tPanel_Export[[#This Row],[RAMK_PENET_RUB]]*tPanel_Export[[#This Row],[TOTAL_SUM_FACT]]</f>
        <v>0</v>
      </c>
      <c r="BH59" s="1">
        <f>tPanel_Export[[#This Row],[AVL_PENET_SHT]]*tPanel_Export[[#This Row],[TOTAL_COUNT_FACT]]</f>
        <v>0</v>
      </c>
      <c r="BI59" s="1">
        <f>tPanel_Export[[#This Row],[AVL_PENET_RUB]]*tPanel_Export[[#This Row],[TOTAL_SUM_FACT]]</f>
        <v>0</v>
      </c>
      <c r="BJ59" s="1">
        <f>1</f>
        <v>1</v>
      </c>
      <c r="BK59" s="32">
        <f>IFERROR(IF(VLOOKUP(tPanel_Export[[#This Row],[DATE_TO]],Extra2!A:C,3,0)="месяц закрыт",1,$BR$1),1)</f>
        <v>1</v>
      </c>
      <c r="BL59" s="1" t="str">
        <f>VLOOKUP(tPanel_Export[[#This Row],[MAK]],Curators!A:B,2,0)</f>
        <v>Кашин</v>
      </c>
    </row>
    <row r="60" spans="1:64" x14ac:dyDescent="0.25">
      <c r="A60" s="5">
        <v>42005</v>
      </c>
      <c r="B60" s="5">
        <v>42369</v>
      </c>
      <c r="C60" t="s">
        <v>28</v>
      </c>
      <c r="E60">
        <v>552</v>
      </c>
      <c r="H60" s="1">
        <v>249002826.33000001</v>
      </c>
      <c r="J60" s="1">
        <v>451092.07668478298</v>
      </c>
      <c r="L60">
        <v>422</v>
      </c>
      <c r="O60">
        <v>96</v>
      </c>
      <c r="R60">
        <v>3</v>
      </c>
      <c r="U60">
        <v>0</v>
      </c>
      <c r="V60" s="3">
        <v>0</v>
      </c>
      <c r="W60" s="3">
        <v>3.839E-3</v>
      </c>
      <c r="X60" s="3">
        <v>4.0200000000000001E-3</v>
      </c>
      <c r="Y60" s="3">
        <v>0</v>
      </c>
      <c r="Z60" s="3">
        <v>0</v>
      </c>
      <c r="AA60" s="3">
        <v>0.67753600000000003</v>
      </c>
      <c r="AB60" s="3">
        <v>0.60843199999999997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17">
        <v>18.0082463</v>
      </c>
      <c r="AJ60" s="17">
        <v>43.8</v>
      </c>
      <c r="AL60" s="17">
        <v>31</v>
      </c>
      <c r="AM60">
        <v>0.4088</v>
      </c>
      <c r="AN60" s="10">
        <v>386083790.06999999</v>
      </c>
      <c r="AO60" s="30">
        <f>tPanel_Export[[#This Row],[ASP_D_COUNT_PLAN]]+tPanel_Export[[#This Row],[C2C_COUNT_PLAN]]</f>
        <v>0</v>
      </c>
      <c r="AP60" s="30">
        <f>tPanel_Export[[#This Row],[ASP_D_COUNT_FACT]]+tPanel_Export[[#This Row],[C2C_COUNT_FACT]]</f>
        <v>3</v>
      </c>
      <c r="AQ60" s="1">
        <f>tPanel_Export[[#This Row],[MEDIUM_CHECK]]*tPanel_Export[[#This Row],[TOTAL_COUNT_FACT]]</f>
        <v>249002826.33000019</v>
      </c>
      <c r="AR60" s="10">
        <f>YEAR(tPanel_Export[[#This Row],[DATE_TO]])</f>
        <v>2015</v>
      </c>
      <c r="AS60" s="1">
        <f>MONTH(tPanel_Export[[#This Row],[DATE_TO]])</f>
        <v>12</v>
      </c>
      <c r="AT60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0" s="1">
        <f>tPanel_Export[[#This Row],[STAVKAGP]]*tPanel_Export[[#This Row],[TOTAL_SUM_FACT]]</f>
        <v>4484104225.9467649</v>
      </c>
      <c r="AV60" s="1">
        <f>tPanel_Export[[#This Row],[SROKKRED]]*tPanel_Export[[#This Row],[TOTAL_SUM_FACT]]</f>
        <v>10906323793.254</v>
      </c>
      <c r="AW60" s="1">
        <f>tPanel_Export[[#This Row],[SV_PV]]*tPanel_Export[[#This Row],[VEHICLE_COST_RUR_AMT]]</f>
        <v>157831053.38061601</v>
      </c>
      <c r="AX60" s="1">
        <f>tPanel_Export[[#This Row],[VKASKO_PENET_SHT]]*tPanel_Export[[#This Row],[TOTAL_COUNT_FACT]]</f>
        <v>2.1191279999999999</v>
      </c>
      <c r="AY60" s="1">
        <f>tPanel_Export[[#This Row],[VKASKO_PENET_RUB]]*tPanel_Export[[#This Row],[TOTAL_SUM_FACT]]</f>
        <v>1000991.3618466001</v>
      </c>
      <c r="AZ60" s="1">
        <f>tPanel_Export[[#This Row],[MKASKO_PENET_SHT]]*tPanel_Export[[#This Row],[TOTAL_COUNT_FACT]]</f>
        <v>0</v>
      </c>
      <c r="BA60" s="1">
        <f>tPanel_Export[[#This Row],[MKASKO_PENET_RUB]]*tPanel_Export[[#This Row],[TOTAL_SUM_FACT]]</f>
        <v>0</v>
      </c>
      <c r="BB60" s="1">
        <f>tPanel_Export[[#This Row],[SJ_PENET_SHT]]*tPanel_Export[[#This Row],[TOTAL_COUNT_FACT]]</f>
        <v>373.99987200000004</v>
      </c>
      <c r="BC60" s="1">
        <f>tPanel_Export[[#This Row],[SJ_PENET_RUB]]*tPanel_Export[[#This Row],[TOTAL_SUM_FACT]]</f>
        <v>151501287.62961456</v>
      </c>
      <c r="BD60" s="1">
        <f>tPanel_Export[[#This Row],[DKASKO_PENET_SHT]]*tPanel_Export[[#This Row],[TOTAL_COUNT_FACT]]</f>
        <v>0</v>
      </c>
      <c r="BE60" s="1">
        <f>tPanel_Export[[#This Row],[DKASKO_PENET_RUB]]*tPanel_Export[[#This Row],[TOTAL_SUM_FACT]]</f>
        <v>0</v>
      </c>
      <c r="BF60" s="1">
        <f>tPanel_Export[[#This Row],[RAMK_PENET_SHT]]*tPanel_Export[[#This Row],[TOTAL_COUNT_FACT]]</f>
        <v>0</v>
      </c>
      <c r="BG60" s="1">
        <f>tPanel_Export[[#This Row],[RAMK_PENET_RUB]]*tPanel_Export[[#This Row],[TOTAL_SUM_FACT]]</f>
        <v>0</v>
      </c>
      <c r="BH60" s="1">
        <f>tPanel_Export[[#This Row],[AVL_PENET_SHT]]*tPanel_Export[[#This Row],[TOTAL_COUNT_FACT]]</f>
        <v>0</v>
      </c>
      <c r="BI60" s="1">
        <f>tPanel_Export[[#This Row],[AVL_PENET_RUB]]*tPanel_Export[[#This Row],[TOTAL_SUM_FACT]]</f>
        <v>0</v>
      </c>
      <c r="BJ60" s="1">
        <f>1</f>
        <v>1</v>
      </c>
      <c r="BK60" s="32">
        <f>IFERROR(IF(VLOOKUP(tPanel_Export[[#This Row],[DATE_TO]],Extra2!A:C,3,0)="месяц закрыт",1,$BR$1),1)</f>
        <v>1</v>
      </c>
      <c r="BL60" s="1" t="str">
        <f>VLOOKUP(tPanel_Export[[#This Row],[MAK]],Curators!A:B,2,0)</f>
        <v>Кабдулин</v>
      </c>
    </row>
    <row r="61" spans="1:64" x14ac:dyDescent="0.25">
      <c r="A61" s="5">
        <v>42005</v>
      </c>
      <c r="B61" s="5">
        <v>42369</v>
      </c>
      <c r="C61" t="s">
        <v>32</v>
      </c>
      <c r="E61">
        <v>1511</v>
      </c>
      <c r="H61" s="1">
        <v>661213452.92999995</v>
      </c>
      <c r="J61" s="1">
        <v>437599.90266710799</v>
      </c>
      <c r="L61">
        <v>1063</v>
      </c>
      <c r="O61">
        <v>389</v>
      </c>
      <c r="R61">
        <v>20</v>
      </c>
      <c r="U61">
        <v>0</v>
      </c>
      <c r="V61" s="3">
        <v>0</v>
      </c>
      <c r="W61" s="3">
        <v>1.1549E-2</v>
      </c>
      <c r="X61" s="3">
        <v>1.0156999999999999E-2</v>
      </c>
      <c r="Y61" s="3">
        <v>0</v>
      </c>
      <c r="Z61" s="3">
        <v>0</v>
      </c>
      <c r="AA61" s="3">
        <v>0.70615499999999998</v>
      </c>
      <c r="AB61" s="3">
        <v>0.64321300000000003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17">
        <v>18.1177405</v>
      </c>
      <c r="AJ61" s="17">
        <v>41.3</v>
      </c>
      <c r="AL61" s="17">
        <v>39</v>
      </c>
      <c r="AM61">
        <v>0.43580000000000002</v>
      </c>
      <c r="AN61" s="10">
        <v>1051271892.49</v>
      </c>
      <c r="AO61" s="30">
        <f>tPanel_Export[[#This Row],[ASP_D_COUNT_PLAN]]+tPanel_Export[[#This Row],[C2C_COUNT_PLAN]]</f>
        <v>0</v>
      </c>
      <c r="AP61" s="30">
        <f>tPanel_Export[[#This Row],[ASP_D_COUNT_FACT]]+tPanel_Export[[#This Row],[C2C_COUNT_FACT]]</f>
        <v>20</v>
      </c>
      <c r="AQ61" s="1">
        <f>tPanel_Export[[#This Row],[MEDIUM_CHECK]]*tPanel_Export[[#This Row],[TOTAL_COUNT_FACT]]</f>
        <v>661213452.93000019</v>
      </c>
      <c r="AR61" s="10">
        <f>YEAR(tPanel_Export[[#This Row],[DATE_TO]])</f>
        <v>2015</v>
      </c>
      <c r="AS61" s="1">
        <f>MONTH(tPanel_Export[[#This Row],[DATE_TO]])</f>
        <v>12</v>
      </c>
      <c r="AT61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1" s="1">
        <f>tPanel_Export[[#This Row],[STAVKAGP]]*tPanel_Export[[#This Row],[TOTAL_SUM_FACT]]</f>
        <v>11979693755.294704</v>
      </c>
      <c r="AV61" s="1">
        <f>tPanel_Export[[#This Row],[SROKKRED]]*tPanel_Export[[#This Row],[TOTAL_SUM_FACT]]</f>
        <v>27308115606.008995</v>
      </c>
      <c r="AW61" s="1">
        <f>tPanel_Export[[#This Row],[SV_PV]]*tPanel_Export[[#This Row],[VEHICLE_COST_RUR_AMT]]</f>
        <v>458144290.74714202</v>
      </c>
      <c r="AX61" s="1">
        <f>tPanel_Export[[#This Row],[VKASKO_PENET_SHT]]*tPanel_Export[[#This Row],[TOTAL_COUNT_FACT]]</f>
        <v>17.450538999999999</v>
      </c>
      <c r="AY61" s="1">
        <f>tPanel_Export[[#This Row],[VKASKO_PENET_RUB]]*tPanel_Export[[#This Row],[TOTAL_SUM_FACT]]</f>
        <v>6715945.0414100094</v>
      </c>
      <c r="AZ61" s="1">
        <f>tPanel_Export[[#This Row],[MKASKO_PENET_SHT]]*tPanel_Export[[#This Row],[TOTAL_COUNT_FACT]]</f>
        <v>0</v>
      </c>
      <c r="BA61" s="1">
        <f>tPanel_Export[[#This Row],[MKASKO_PENET_RUB]]*tPanel_Export[[#This Row],[TOTAL_SUM_FACT]]</f>
        <v>0</v>
      </c>
      <c r="BB61" s="1">
        <f>tPanel_Export[[#This Row],[SJ_PENET_SHT]]*tPanel_Export[[#This Row],[TOTAL_COUNT_FACT]]</f>
        <v>1067.0002050000001</v>
      </c>
      <c r="BC61" s="1">
        <f>tPanel_Export[[#This Row],[SJ_PENET_RUB]]*tPanel_Export[[#This Row],[TOTAL_SUM_FACT]]</f>
        <v>425301088.69946408</v>
      </c>
      <c r="BD61" s="1">
        <f>tPanel_Export[[#This Row],[DKASKO_PENET_SHT]]*tPanel_Export[[#This Row],[TOTAL_COUNT_FACT]]</f>
        <v>0</v>
      </c>
      <c r="BE61" s="1">
        <f>tPanel_Export[[#This Row],[DKASKO_PENET_RUB]]*tPanel_Export[[#This Row],[TOTAL_SUM_FACT]]</f>
        <v>0</v>
      </c>
      <c r="BF61" s="1">
        <f>tPanel_Export[[#This Row],[RAMK_PENET_SHT]]*tPanel_Export[[#This Row],[TOTAL_COUNT_FACT]]</f>
        <v>0</v>
      </c>
      <c r="BG61" s="1">
        <f>tPanel_Export[[#This Row],[RAMK_PENET_RUB]]*tPanel_Export[[#This Row],[TOTAL_SUM_FACT]]</f>
        <v>0</v>
      </c>
      <c r="BH61" s="1">
        <f>tPanel_Export[[#This Row],[AVL_PENET_SHT]]*tPanel_Export[[#This Row],[TOTAL_COUNT_FACT]]</f>
        <v>0</v>
      </c>
      <c r="BI61" s="1">
        <f>tPanel_Export[[#This Row],[AVL_PENET_RUB]]*tPanel_Export[[#This Row],[TOTAL_SUM_FACT]]</f>
        <v>0</v>
      </c>
      <c r="BJ61" s="1">
        <f>1</f>
        <v>1</v>
      </c>
      <c r="BK61" s="32">
        <f>IFERROR(IF(VLOOKUP(tPanel_Export[[#This Row],[DATE_TO]],Extra2!A:C,3,0)="месяц закрыт",1,$BR$1),1)</f>
        <v>1</v>
      </c>
      <c r="BL61" s="1" t="str">
        <f>VLOOKUP(tPanel_Export[[#This Row],[MAK]],Curators!A:B,2,0)</f>
        <v>Швейцаров</v>
      </c>
    </row>
    <row r="62" spans="1:64" x14ac:dyDescent="0.25">
      <c r="A62" s="5">
        <v>42005</v>
      </c>
      <c r="B62" s="5">
        <v>42369</v>
      </c>
      <c r="C62" t="s">
        <v>59</v>
      </c>
      <c r="E62" s="1">
        <v>900</v>
      </c>
      <c r="H62" s="1">
        <v>450709525.45999998</v>
      </c>
      <c r="J62" s="1">
        <v>500788.361622222</v>
      </c>
      <c r="L62" s="1">
        <v>531</v>
      </c>
      <c r="O62" s="1">
        <v>296</v>
      </c>
      <c r="R62" s="1">
        <v>25</v>
      </c>
      <c r="T62" s="1"/>
      <c r="U62" s="1">
        <v>0</v>
      </c>
      <c r="V62" s="3">
        <v>0</v>
      </c>
      <c r="W62" s="35">
        <v>2.5822000000000001E-2</v>
      </c>
      <c r="X62" s="35">
        <v>2.3448E-2</v>
      </c>
      <c r="Y62" s="35">
        <v>0</v>
      </c>
      <c r="Z62" s="35">
        <v>0</v>
      </c>
      <c r="AA62" s="35">
        <v>0.64777799999999996</v>
      </c>
      <c r="AB62" s="35">
        <v>0.54434700000000003</v>
      </c>
      <c r="AC62" s="35">
        <v>0</v>
      </c>
      <c r="AD62" s="35">
        <v>0</v>
      </c>
      <c r="AE62" s="35">
        <v>0</v>
      </c>
      <c r="AF62" s="35">
        <v>0</v>
      </c>
      <c r="AG62" s="35">
        <v>0</v>
      </c>
      <c r="AH62" s="35">
        <v>0</v>
      </c>
      <c r="AI62" s="36">
        <v>18.1076312</v>
      </c>
      <c r="AJ62" s="36">
        <v>45.36</v>
      </c>
      <c r="AK62" s="36"/>
      <c r="AL62" s="36">
        <v>48</v>
      </c>
      <c r="AM62" s="36">
        <v>0.40110000000000001</v>
      </c>
      <c r="AN62" s="10">
        <v>683771460.52999997</v>
      </c>
      <c r="AO62" s="30">
        <f>tPanel_Export[[#This Row],[ASP_D_COUNT_PLAN]]+tPanel_Export[[#This Row],[C2C_COUNT_PLAN]]</f>
        <v>0</v>
      </c>
      <c r="AP62" s="30">
        <f>tPanel_Export[[#This Row],[ASP_D_COUNT_FACT]]+tPanel_Export[[#This Row],[C2C_COUNT_FACT]]</f>
        <v>25</v>
      </c>
      <c r="AQ62" s="1">
        <f>tPanel_Export[[#This Row],[MEDIUM_CHECK]]*tPanel_Export[[#This Row],[TOTAL_COUNT_FACT]]</f>
        <v>450709525.4599998</v>
      </c>
      <c r="AR62" s="10">
        <f>YEAR(tPanel_Export[[#This Row],[DATE_TO]])</f>
        <v>2015</v>
      </c>
      <c r="AS62" s="1">
        <f>MONTH(tPanel_Export[[#This Row],[DATE_TO]])</f>
        <v>12</v>
      </c>
      <c r="AT62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2" s="1">
        <f>tPanel_Export[[#This Row],[STAVKAGP]]*tPanel_Export[[#This Row],[TOTAL_SUM_FACT]]</f>
        <v>8161281865.3566904</v>
      </c>
      <c r="AV62" s="1">
        <f>tPanel_Export[[#This Row],[SROKKRED]]*tPanel_Export[[#This Row],[TOTAL_SUM_FACT]]</f>
        <v>20444184074.865601</v>
      </c>
      <c r="AW62" s="1">
        <f>tPanel_Export[[#This Row],[SV_PV]]*tPanel_Export[[#This Row],[VEHICLE_COST_RUR_AMT]]</f>
        <v>274260732.81858301</v>
      </c>
      <c r="AX62" s="1">
        <f>tPanel_Export[[#This Row],[VKASKO_PENET_SHT]]*tPanel_Export[[#This Row],[TOTAL_COUNT_FACT]]</f>
        <v>23.239800000000002</v>
      </c>
      <c r="AY62" s="1">
        <f>tPanel_Export[[#This Row],[VKASKO_PENET_RUB]]*tPanel_Export[[#This Row],[TOTAL_SUM_FACT]]</f>
        <v>10568236.95298608</v>
      </c>
      <c r="AZ62" s="1">
        <f>tPanel_Export[[#This Row],[MKASKO_PENET_SHT]]*tPanel_Export[[#This Row],[TOTAL_COUNT_FACT]]</f>
        <v>0</v>
      </c>
      <c r="BA62" s="1">
        <f>tPanel_Export[[#This Row],[MKASKO_PENET_RUB]]*tPanel_Export[[#This Row],[TOTAL_SUM_FACT]]</f>
        <v>0</v>
      </c>
      <c r="BB62" s="1">
        <f>tPanel_Export[[#This Row],[SJ_PENET_SHT]]*tPanel_Export[[#This Row],[TOTAL_COUNT_FACT]]</f>
        <v>583.00019999999995</v>
      </c>
      <c r="BC62" s="1">
        <f>tPanel_Export[[#This Row],[SJ_PENET_RUB]]*tPanel_Export[[#This Row],[TOTAL_SUM_FACT]]</f>
        <v>245342378.05557463</v>
      </c>
      <c r="BD62" s="1">
        <f>tPanel_Export[[#This Row],[DKASKO_PENET_SHT]]*tPanel_Export[[#This Row],[TOTAL_COUNT_FACT]]</f>
        <v>0</v>
      </c>
      <c r="BE62" s="1">
        <f>tPanel_Export[[#This Row],[DKASKO_PENET_RUB]]*tPanel_Export[[#This Row],[TOTAL_SUM_FACT]]</f>
        <v>0</v>
      </c>
      <c r="BF62" s="1">
        <f>tPanel_Export[[#This Row],[RAMK_PENET_SHT]]*tPanel_Export[[#This Row],[TOTAL_COUNT_FACT]]</f>
        <v>0</v>
      </c>
      <c r="BG62" s="1">
        <f>tPanel_Export[[#This Row],[RAMK_PENET_RUB]]*tPanel_Export[[#This Row],[TOTAL_SUM_FACT]]</f>
        <v>0</v>
      </c>
      <c r="BH62" s="1">
        <f>tPanel_Export[[#This Row],[AVL_PENET_SHT]]*tPanel_Export[[#This Row],[TOTAL_COUNT_FACT]]</f>
        <v>0</v>
      </c>
      <c r="BI62" s="1">
        <f>tPanel_Export[[#This Row],[AVL_PENET_RUB]]*tPanel_Export[[#This Row],[TOTAL_SUM_FACT]]</f>
        <v>0</v>
      </c>
      <c r="BJ62" s="1">
        <f>1</f>
        <v>1</v>
      </c>
      <c r="BK62" s="32">
        <f>IFERROR(IF(VLOOKUP(tPanel_Export[[#This Row],[DATE_TO]],Extra2!A:C,3,0)="месяц закрыт",1,$BR$1),1)</f>
        <v>1</v>
      </c>
      <c r="BL62" s="1" t="str">
        <f>VLOOKUP(tPanel_Export[[#This Row],[MAK]],Curators!A:B,2,0)</f>
        <v>Иванов</v>
      </c>
    </row>
    <row r="63" spans="1:64" x14ac:dyDescent="0.25">
      <c r="A63" s="5">
        <v>42005</v>
      </c>
      <c r="B63" s="5">
        <v>42369</v>
      </c>
      <c r="C63" t="s">
        <v>39</v>
      </c>
      <c r="E63" s="1">
        <v>917</v>
      </c>
      <c r="H63" s="1">
        <v>340446638.06</v>
      </c>
      <c r="J63" s="1">
        <v>371261.328309706</v>
      </c>
      <c r="L63" s="1">
        <v>812</v>
      </c>
      <c r="O63" s="1">
        <v>68</v>
      </c>
      <c r="R63" s="1">
        <v>12</v>
      </c>
      <c r="T63" s="1"/>
      <c r="U63" s="1">
        <v>0</v>
      </c>
      <c r="V63" s="3">
        <v>0</v>
      </c>
      <c r="W63" s="35">
        <v>0</v>
      </c>
      <c r="X63" s="35">
        <v>0</v>
      </c>
      <c r="Y63" s="35">
        <v>0</v>
      </c>
      <c r="Z63" s="35">
        <v>0</v>
      </c>
      <c r="AA63" s="35">
        <v>0.71973799999999999</v>
      </c>
      <c r="AB63" s="35">
        <v>0.64151499999999995</v>
      </c>
      <c r="AC63" s="35">
        <v>0</v>
      </c>
      <c r="AD63" s="35">
        <v>0</v>
      </c>
      <c r="AE63" s="35">
        <v>0</v>
      </c>
      <c r="AF63" s="35">
        <v>0</v>
      </c>
      <c r="AG63" s="35">
        <v>0</v>
      </c>
      <c r="AH63" s="35">
        <v>0</v>
      </c>
      <c r="AI63" s="36">
        <v>18.371134399999999</v>
      </c>
      <c r="AJ63" s="36">
        <v>40.020000000000003</v>
      </c>
      <c r="AK63" s="36"/>
      <c r="AL63" s="36">
        <v>25</v>
      </c>
      <c r="AM63" s="36">
        <v>0.42820000000000003</v>
      </c>
      <c r="AN63" s="10">
        <v>547498735.88</v>
      </c>
      <c r="AO63" s="30">
        <f>tPanel_Export[[#This Row],[ASP_D_COUNT_PLAN]]+tPanel_Export[[#This Row],[C2C_COUNT_PLAN]]</f>
        <v>0</v>
      </c>
      <c r="AP63" s="30">
        <f>tPanel_Export[[#This Row],[ASP_D_COUNT_FACT]]+tPanel_Export[[#This Row],[C2C_COUNT_FACT]]</f>
        <v>12</v>
      </c>
      <c r="AQ63" s="1">
        <f>tPanel_Export[[#This Row],[MEDIUM_CHECK]]*tPanel_Export[[#This Row],[TOTAL_COUNT_FACT]]</f>
        <v>340446638.06000042</v>
      </c>
      <c r="AR63" s="10">
        <f>YEAR(tPanel_Export[[#This Row],[DATE_TO]])</f>
        <v>2015</v>
      </c>
      <c r="AS63" s="1">
        <f>MONTH(tPanel_Export[[#This Row],[DATE_TO]])</f>
        <v>12</v>
      </c>
      <c r="AT63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3" s="1">
        <f>tPanel_Export[[#This Row],[STAVKAGP]]*tPanel_Export[[#This Row],[TOTAL_SUM_FACT]]</f>
        <v>6254390943.8284149</v>
      </c>
      <c r="AV63" s="1">
        <f>tPanel_Export[[#This Row],[SROKKRED]]*tPanel_Export[[#This Row],[TOTAL_SUM_FACT]]</f>
        <v>13624674455.161201</v>
      </c>
      <c r="AW63" s="1">
        <f>tPanel_Export[[#This Row],[SV_PV]]*tPanel_Export[[#This Row],[VEHICLE_COST_RUR_AMT]]</f>
        <v>234438958.70381603</v>
      </c>
      <c r="AX63" s="1">
        <f>tPanel_Export[[#This Row],[VKASKO_PENET_SHT]]*tPanel_Export[[#This Row],[TOTAL_COUNT_FACT]]</f>
        <v>0</v>
      </c>
      <c r="AY63" s="1">
        <f>tPanel_Export[[#This Row],[VKASKO_PENET_RUB]]*tPanel_Export[[#This Row],[TOTAL_SUM_FACT]]</f>
        <v>0</v>
      </c>
      <c r="AZ63" s="1">
        <f>tPanel_Export[[#This Row],[MKASKO_PENET_SHT]]*tPanel_Export[[#This Row],[TOTAL_COUNT_FACT]]</f>
        <v>0</v>
      </c>
      <c r="BA63" s="1">
        <f>tPanel_Export[[#This Row],[MKASKO_PENET_RUB]]*tPanel_Export[[#This Row],[TOTAL_SUM_FACT]]</f>
        <v>0</v>
      </c>
      <c r="BB63" s="1">
        <f>tPanel_Export[[#This Row],[SJ_PENET_SHT]]*tPanel_Export[[#This Row],[TOTAL_COUNT_FACT]]</f>
        <v>659.99974599999996</v>
      </c>
      <c r="BC63" s="1">
        <f>tPanel_Export[[#This Row],[SJ_PENET_RUB]]*tPanel_Export[[#This Row],[TOTAL_SUM_FACT]]</f>
        <v>218401625.01506087</v>
      </c>
      <c r="BD63" s="1">
        <f>tPanel_Export[[#This Row],[DKASKO_PENET_SHT]]*tPanel_Export[[#This Row],[TOTAL_COUNT_FACT]]</f>
        <v>0</v>
      </c>
      <c r="BE63" s="1">
        <f>tPanel_Export[[#This Row],[DKASKO_PENET_RUB]]*tPanel_Export[[#This Row],[TOTAL_SUM_FACT]]</f>
        <v>0</v>
      </c>
      <c r="BF63" s="1">
        <f>tPanel_Export[[#This Row],[RAMK_PENET_SHT]]*tPanel_Export[[#This Row],[TOTAL_COUNT_FACT]]</f>
        <v>0</v>
      </c>
      <c r="BG63" s="1">
        <f>tPanel_Export[[#This Row],[RAMK_PENET_RUB]]*tPanel_Export[[#This Row],[TOTAL_SUM_FACT]]</f>
        <v>0</v>
      </c>
      <c r="BH63" s="1">
        <f>tPanel_Export[[#This Row],[AVL_PENET_SHT]]*tPanel_Export[[#This Row],[TOTAL_COUNT_FACT]]</f>
        <v>0</v>
      </c>
      <c r="BI63" s="1">
        <f>tPanel_Export[[#This Row],[AVL_PENET_RUB]]*tPanel_Export[[#This Row],[TOTAL_SUM_FACT]]</f>
        <v>0</v>
      </c>
      <c r="BJ63" s="1">
        <f>1</f>
        <v>1</v>
      </c>
      <c r="BK63" s="32">
        <f>IFERROR(IF(VLOOKUP(tPanel_Export[[#This Row],[DATE_TO]],Extra2!A:C,3,0)="месяц закрыт",1,$BR$1),1)</f>
        <v>1</v>
      </c>
      <c r="BL63" s="1" t="str">
        <f>VLOOKUP(tPanel_Export[[#This Row],[MAK]],Curators!A:B,2,0)</f>
        <v>Иванов</v>
      </c>
    </row>
    <row r="64" spans="1:64" x14ac:dyDescent="0.25">
      <c r="A64" s="5">
        <v>42005</v>
      </c>
      <c r="B64" s="5">
        <v>42369</v>
      </c>
      <c r="C64" t="s">
        <v>19</v>
      </c>
      <c r="E64" s="1">
        <v>1506</v>
      </c>
      <c r="H64" s="1">
        <v>616549414.96000004</v>
      </c>
      <c r="J64" s="1">
        <v>409395.36185922998</v>
      </c>
      <c r="L64" s="1">
        <v>1184</v>
      </c>
      <c r="O64" s="1">
        <v>202</v>
      </c>
      <c r="R64" s="1">
        <v>20</v>
      </c>
      <c r="T64" s="1"/>
      <c r="U64" s="1">
        <v>0</v>
      </c>
      <c r="V64" s="3">
        <v>0</v>
      </c>
      <c r="W64" s="35">
        <v>0</v>
      </c>
      <c r="X64" s="35">
        <v>0</v>
      </c>
      <c r="Y64" s="35">
        <v>0</v>
      </c>
      <c r="Z64" s="35">
        <v>0</v>
      </c>
      <c r="AA64" s="35">
        <v>0.72775599999999996</v>
      </c>
      <c r="AB64" s="35">
        <v>0.64610699999999999</v>
      </c>
      <c r="AC64" s="35">
        <v>0</v>
      </c>
      <c r="AD64" s="35">
        <v>0</v>
      </c>
      <c r="AE64" s="35">
        <v>0</v>
      </c>
      <c r="AF64" s="35">
        <v>0</v>
      </c>
      <c r="AG64" s="35">
        <v>0</v>
      </c>
      <c r="AH64" s="35">
        <v>0</v>
      </c>
      <c r="AI64" s="36">
        <v>18.437861900000001</v>
      </c>
      <c r="AJ64" s="36">
        <v>41.91</v>
      </c>
      <c r="AK64" s="36"/>
      <c r="AL64" s="36">
        <v>100</v>
      </c>
      <c r="AM64" s="36">
        <v>0.43959999999999999</v>
      </c>
      <c r="AN64" s="10">
        <v>964996787.24000001</v>
      </c>
      <c r="AO64" s="30">
        <f>tPanel_Export[[#This Row],[ASP_D_COUNT_PLAN]]+tPanel_Export[[#This Row],[C2C_COUNT_PLAN]]</f>
        <v>0</v>
      </c>
      <c r="AP64" s="30">
        <f>tPanel_Export[[#This Row],[ASP_D_COUNT_FACT]]+tPanel_Export[[#This Row],[C2C_COUNT_FACT]]</f>
        <v>20</v>
      </c>
      <c r="AQ64" s="1">
        <f>tPanel_Export[[#This Row],[MEDIUM_CHECK]]*tPanel_Export[[#This Row],[TOTAL_COUNT_FACT]]</f>
        <v>616549414.9600004</v>
      </c>
      <c r="AR64" s="10">
        <f>YEAR(tPanel_Export[[#This Row],[DATE_TO]])</f>
        <v>2015</v>
      </c>
      <c r="AS64" s="1">
        <f>MONTH(tPanel_Export[[#This Row],[DATE_TO]])</f>
        <v>12</v>
      </c>
      <c r="AT64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4" s="1">
        <f>tPanel_Export[[#This Row],[STAVKAGP]]*tPanel_Export[[#This Row],[TOTAL_SUM_FACT]]</f>
        <v>11367852967.558275</v>
      </c>
      <c r="AV64" s="1">
        <f>tPanel_Export[[#This Row],[SROKKRED]]*tPanel_Export[[#This Row],[TOTAL_SUM_FACT]]</f>
        <v>25839585980.973598</v>
      </c>
      <c r="AW64" s="1">
        <f>tPanel_Export[[#This Row],[SV_PV]]*tPanel_Export[[#This Row],[VEHICLE_COST_RUR_AMT]]</f>
        <v>424212587.67070401</v>
      </c>
      <c r="AX64" s="1">
        <f>tPanel_Export[[#This Row],[VKASKO_PENET_SHT]]*tPanel_Export[[#This Row],[TOTAL_COUNT_FACT]]</f>
        <v>0</v>
      </c>
      <c r="AY64" s="1">
        <f>tPanel_Export[[#This Row],[VKASKO_PENET_RUB]]*tPanel_Export[[#This Row],[TOTAL_SUM_FACT]]</f>
        <v>0</v>
      </c>
      <c r="AZ64" s="1">
        <f>tPanel_Export[[#This Row],[MKASKO_PENET_SHT]]*tPanel_Export[[#This Row],[TOTAL_COUNT_FACT]]</f>
        <v>0</v>
      </c>
      <c r="BA64" s="1">
        <f>tPanel_Export[[#This Row],[MKASKO_PENET_RUB]]*tPanel_Export[[#This Row],[TOTAL_SUM_FACT]]</f>
        <v>0</v>
      </c>
      <c r="BB64" s="1">
        <f>tPanel_Export[[#This Row],[SJ_PENET_SHT]]*tPanel_Export[[#This Row],[TOTAL_COUNT_FACT]]</f>
        <v>1096.000536</v>
      </c>
      <c r="BC64" s="1">
        <f>tPanel_Export[[#This Row],[SJ_PENET_RUB]]*tPanel_Export[[#This Row],[TOTAL_SUM_FACT]]</f>
        <v>398356892.85156071</v>
      </c>
      <c r="BD64" s="1">
        <f>tPanel_Export[[#This Row],[DKASKO_PENET_SHT]]*tPanel_Export[[#This Row],[TOTAL_COUNT_FACT]]</f>
        <v>0</v>
      </c>
      <c r="BE64" s="1">
        <f>tPanel_Export[[#This Row],[DKASKO_PENET_RUB]]*tPanel_Export[[#This Row],[TOTAL_SUM_FACT]]</f>
        <v>0</v>
      </c>
      <c r="BF64" s="1">
        <f>tPanel_Export[[#This Row],[RAMK_PENET_SHT]]*tPanel_Export[[#This Row],[TOTAL_COUNT_FACT]]</f>
        <v>0</v>
      </c>
      <c r="BG64" s="1">
        <f>tPanel_Export[[#This Row],[RAMK_PENET_RUB]]*tPanel_Export[[#This Row],[TOTAL_SUM_FACT]]</f>
        <v>0</v>
      </c>
      <c r="BH64" s="1">
        <f>tPanel_Export[[#This Row],[AVL_PENET_SHT]]*tPanel_Export[[#This Row],[TOTAL_COUNT_FACT]]</f>
        <v>0</v>
      </c>
      <c r="BI64" s="1">
        <f>tPanel_Export[[#This Row],[AVL_PENET_RUB]]*tPanel_Export[[#This Row],[TOTAL_SUM_FACT]]</f>
        <v>0</v>
      </c>
      <c r="BJ64" s="1">
        <f>1</f>
        <v>1</v>
      </c>
      <c r="BK64" s="32">
        <f>IFERROR(IF(VLOOKUP(tPanel_Export[[#This Row],[DATE_TO]],Extra2!A:C,3,0)="месяц закрыт",1,$BR$1),1)</f>
        <v>1</v>
      </c>
      <c r="BL64" s="1" t="str">
        <f>VLOOKUP(tPanel_Export[[#This Row],[MAK]],Curators!A:B,2,0)</f>
        <v>Кашин</v>
      </c>
    </row>
    <row r="65" spans="1:64" x14ac:dyDescent="0.25">
      <c r="A65" s="5">
        <v>42005</v>
      </c>
      <c r="B65" s="5">
        <v>42369</v>
      </c>
      <c r="C65" t="s">
        <v>36</v>
      </c>
      <c r="E65" s="1">
        <v>627</v>
      </c>
      <c r="H65" s="1">
        <v>301122790.87</v>
      </c>
      <c r="J65" s="1">
        <v>480259.63456140301</v>
      </c>
      <c r="L65" s="1">
        <v>408</v>
      </c>
      <c r="O65" s="1">
        <v>152</v>
      </c>
      <c r="R65" s="1">
        <v>13</v>
      </c>
      <c r="T65" s="1"/>
      <c r="U65" s="1">
        <v>0</v>
      </c>
      <c r="V65" s="3">
        <v>0</v>
      </c>
      <c r="W65" s="35">
        <v>0</v>
      </c>
      <c r="X65" s="35">
        <v>0</v>
      </c>
      <c r="Y65" s="35">
        <v>0</v>
      </c>
      <c r="Z65" s="35">
        <v>0</v>
      </c>
      <c r="AA65" s="35">
        <v>0.60446599999999995</v>
      </c>
      <c r="AB65" s="35">
        <v>0.41893999999999998</v>
      </c>
      <c r="AC65" s="35">
        <v>0</v>
      </c>
      <c r="AD65" s="35">
        <v>0</v>
      </c>
      <c r="AE65" s="35">
        <v>0</v>
      </c>
      <c r="AF65" s="35">
        <v>0</v>
      </c>
      <c r="AG65" s="35">
        <v>0</v>
      </c>
      <c r="AH65" s="35">
        <v>0</v>
      </c>
      <c r="AI65" s="36">
        <v>18.4861006</v>
      </c>
      <c r="AJ65" s="36">
        <v>46.64</v>
      </c>
      <c r="AK65" s="36"/>
      <c r="AL65" s="36">
        <v>54</v>
      </c>
      <c r="AM65" s="36">
        <v>0.4294</v>
      </c>
      <c r="AN65" s="10">
        <v>491482646.50999999</v>
      </c>
      <c r="AO65" s="30">
        <f>tPanel_Export[[#This Row],[ASP_D_COUNT_PLAN]]+tPanel_Export[[#This Row],[C2C_COUNT_PLAN]]</f>
        <v>0</v>
      </c>
      <c r="AP65" s="30">
        <f>tPanel_Export[[#This Row],[ASP_D_COUNT_FACT]]+tPanel_Export[[#This Row],[C2C_COUNT_FACT]]</f>
        <v>13</v>
      </c>
      <c r="AQ65" s="1">
        <f>tPanel_Export[[#This Row],[MEDIUM_CHECK]]*tPanel_Export[[#This Row],[TOTAL_COUNT_FACT]]</f>
        <v>301122790.86999971</v>
      </c>
      <c r="AR65" s="10">
        <f>YEAR(tPanel_Export[[#This Row],[DATE_TO]])</f>
        <v>2015</v>
      </c>
      <c r="AS65" s="1">
        <f>MONTH(tPanel_Export[[#This Row],[DATE_TO]])</f>
        <v>12</v>
      </c>
      <c r="AT65" s="1" t="str">
        <f>IF(OR(tPanel_Export[[#This Row],[MONTH]]=1,tPanel_Export[[#This Row],[MONTH]]=2,tPanel_Export[[#This Row],[MONTH]]=3),"Q1",IF(OR(tPanel_Export[[#This Row],[MONTH]]=4,tPanel_Export[[#This Row],[MONTH]]=5,tPanel_Export[[#This Row],[MONTH]]=6),"Q2",IF(OR(tPanel_Export[[#This Row],[MONTH]]=7,tPanel_Export[[#This Row],[MONTH]]=8,tPanel_Export[[#This Row],[MONTH]]=9),"Q3",IF(OR(tPanel_Export[[#This Row],[MONTH]]=10,tPanel_Export[[#This Row],[MONTH]]=11,tPanel_Export[[#This Row],[MONTH]]=12),"Q4",""))))</f>
        <v>Q4</v>
      </c>
      <c r="AU65" s="1">
        <f>tPanel_Export[[#This Row],[STAVKAGP]]*tPanel_Export[[#This Row],[TOTAL_SUM_FACT]]</f>
        <v>5566586204.9755821</v>
      </c>
      <c r="AV65" s="1">
        <f>tPanel_Export[[#This Row],[SROKKRED]]*tPanel_Export[[#This Row],[TOTAL_SUM_FACT]]</f>
        <v>14044366966.1768</v>
      </c>
      <c r="AW65" s="1">
        <f>tPanel_Export[[#This Row],[SV_PV]]*tPanel_Export[[#This Row],[VEHICLE_COST_RUR_AMT]]</f>
        <v>211042648.411394</v>
      </c>
      <c r="AX65" s="1">
        <f>tPanel_Export[[#This Row],[VKASKO_PENET_SHT]]*tPanel_Export[[#This Row],[TOTAL_COUNT_FACT]]</f>
        <v>0</v>
      </c>
      <c r="AY65" s="1">
        <f>tPanel_Export[[#This Row],[VKASKO_PENET_RUB]]*tPanel_Export[[#This Row],[TOTAL_SUM_FACT]]</f>
        <v>0</v>
      </c>
      <c r="AZ65" s="1">
        <f>tPanel_Export[[#This Row],[MKASKO_PENET_SHT]]*tPanel_Export[[#This Row],[TOTAL_COUNT_FACT]]</f>
        <v>0</v>
      </c>
      <c r="BA65" s="1">
        <f>tPanel_Export[[#This Row],[MKASKO_PENET_RUB]]*tPanel_Export[[#This Row],[TOTAL_SUM_FACT]]</f>
        <v>0</v>
      </c>
      <c r="BB65" s="1">
        <f>tPanel_Export[[#This Row],[SJ_PENET_SHT]]*tPanel_Export[[#This Row],[TOTAL_COUNT_FACT]]</f>
        <v>379.000182</v>
      </c>
      <c r="BC65" s="1">
        <f>tPanel_Export[[#This Row],[SJ_PENET_RUB]]*tPanel_Export[[#This Row],[TOTAL_SUM_FACT]]</f>
        <v>126152382.0070778</v>
      </c>
      <c r="BD65" s="1">
        <f>tPanel_Export[[#This Row],[DKASKO_PENET_SHT]]*tPanel_Export[[#This Row],[TOTAL_COUNT_FACT]]</f>
        <v>0</v>
      </c>
      <c r="BE65" s="1">
        <f>tPanel_Export[[#This Row],[DKASKO_PENET_RUB]]*tPanel_Export[[#This Row],[TOTAL_SUM_FACT]]</f>
        <v>0</v>
      </c>
      <c r="BF65" s="1">
        <f>tPanel_Export[[#This Row],[RAMK_PENET_SHT]]*tPanel_Export[[#This Row],[TOTAL_COUNT_FACT]]</f>
        <v>0</v>
      </c>
      <c r="BG65" s="1">
        <f>tPanel_Export[[#This Row],[RAMK_PENET_RUB]]*tPanel_Export[[#This Row],[TOTAL_SUM_FACT]]</f>
        <v>0</v>
      </c>
      <c r="BH65" s="1">
        <f>tPanel_Export[[#This Row],[AVL_PENET_SHT]]*tPanel_Export[[#This Row],[TOTAL_COUNT_FACT]]</f>
        <v>0</v>
      </c>
      <c r="BI65" s="1">
        <f>tPanel_Export[[#This Row],[AVL_PENET_RUB]]*tPanel_Export[[#This Row],[TOTAL_SUM_FACT]]</f>
        <v>0</v>
      </c>
      <c r="BJ65" s="1">
        <f>1</f>
        <v>1</v>
      </c>
      <c r="BK65" s="32">
        <f>IFERROR(IF(VLOOKUP(tPanel_Export[[#This Row],[DATE_TO]],Extra2!A:C,3,0)="месяц закрыт",1,$BR$1),1)</f>
        <v>1</v>
      </c>
      <c r="BL65" s="1" t="str">
        <f>VLOOKUP(tPanel_Export[[#This Row],[MAK]],Curators!A:B,2,0)</f>
        <v>Капшук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97"/>
  <sheetViews>
    <sheetView zoomScale="85" zoomScaleNormal="85" workbookViewId="0">
      <pane ySplit="1" topLeftCell="A2" activePane="bottomLeft" state="frozen"/>
      <selection activeCell="K26" sqref="K26"/>
      <selection pane="bottomLeft" activeCell="D1" sqref="D1"/>
    </sheetView>
  </sheetViews>
  <sheetFormatPr defaultRowHeight="15" x14ac:dyDescent="0.25"/>
  <cols>
    <col min="1" max="1" width="16.42578125" bestFit="1" customWidth="1"/>
    <col min="2" max="2" width="11.7109375" style="10" customWidth="1"/>
    <col min="3" max="3" width="17.7109375" customWidth="1"/>
    <col min="4" max="4" width="10.28515625" bestFit="1" customWidth="1"/>
  </cols>
  <sheetData>
    <row r="1" spans="1:4" ht="79.5" customHeight="1" x14ac:dyDescent="0.25">
      <c r="A1" s="4" t="s">
        <v>183</v>
      </c>
      <c r="B1" s="33" t="s">
        <v>184</v>
      </c>
      <c r="C1" s="4" t="s">
        <v>185</v>
      </c>
      <c r="D1" s="34" t="s">
        <v>186</v>
      </c>
    </row>
    <row r="2" spans="1:4" x14ac:dyDescent="0.25">
      <c r="A2" s="5">
        <v>42736</v>
      </c>
      <c r="B2" s="5">
        <f>EOMONTH(A2,0)</f>
        <v>42766</v>
      </c>
      <c r="C2" t="str">
        <f ca="1">IF((B2-$D$2)&lt;0,"месяц закрыт","месяц не закрыт")</f>
        <v>месяц закрыт</v>
      </c>
      <c r="D2" s="5">
        <f ca="1">TODAY()</f>
        <v>43125</v>
      </c>
    </row>
    <row r="3" spans="1:4" x14ac:dyDescent="0.25">
      <c r="A3" s="5">
        <v>42737</v>
      </c>
      <c r="B3" s="5">
        <f t="shared" ref="B3:B66" si="0">EOMONTH(A3,0)</f>
        <v>42766</v>
      </c>
      <c r="C3" t="str">
        <f t="shared" ref="C3:C66" ca="1" si="1">IF((B3-$D$2)&lt;0,"месяц закрыт","месяц не закрыт")</f>
        <v>месяц закрыт</v>
      </c>
    </row>
    <row r="4" spans="1:4" x14ac:dyDescent="0.25">
      <c r="A4" s="5">
        <v>42738</v>
      </c>
      <c r="B4" s="5">
        <f t="shared" si="0"/>
        <v>42766</v>
      </c>
      <c r="C4" t="str">
        <f t="shared" ca="1" si="1"/>
        <v>месяц закрыт</v>
      </c>
    </row>
    <row r="5" spans="1:4" x14ac:dyDescent="0.25">
      <c r="A5" s="5">
        <v>42739</v>
      </c>
      <c r="B5" s="5">
        <f t="shared" si="0"/>
        <v>42766</v>
      </c>
      <c r="C5" t="str">
        <f t="shared" ca="1" si="1"/>
        <v>месяц закрыт</v>
      </c>
    </row>
    <row r="6" spans="1:4" x14ac:dyDescent="0.25">
      <c r="A6" s="5">
        <v>42740</v>
      </c>
      <c r="B6" s="5">
        <f t="shared" si="0"/>
        <v>42766</v>
      </c>
      <c r="C6" t="str">
        <f t="shared" ca="1" si="1"/>
        <v>месяц закрыт</v>
      </c>
    </row>
    <row r="7" spans="1:4" x14ac:dyDescent="0.25">
      <c r="A7" s="5">
        <v>42741</v>
      </c>
      <c r="B7" s="5">
        <f t="shared" si="0"/>
        <v>42766</v>
      </c>
      <c r="C7" t="str">
        <f t="shared" ca="1" si="1"/>
        <v>месяц закрыт</v>
      </c>
    </row>
    <row r="8" spans="1:4" x14ac:dyDescent="0.25">
      <c r="A8" s="5">
        <v>42742</v>
      </c>
      <c r="B8" s="5">
        <f t="shared" si="0"/>
        <v>42766</v>
      </c>
      <c r="C8" t="str">
        <f t="shared" ca="1" si="1"/>
        <v>месяц закрыт</v>
      </c>
    </row>
    <row r="9" spans="1:4" x14ac:dyDescent="0.25">
      <c r="A9" s="5">
        <v>42743</v>
      </c>
      <c r="B9" s="5">
        <f t="shared" si="0"/>
        <v>42766</v>
      </c>
      <c r="C9" t="str">
        <f t="shared" ca="1" si="1"/>
        <v>месяц закрыт</v>
      </c>
    </row>
    <row r="10" spans="1:4" x14ac:dyDescent="0.25">
      <c r="A10" s="5">
        <v>42744</v>
      </c>
      <c r="B10" s="5">
        <f t="shared" si="0"/>
        <v>42766</v>
      </c>
      <c r="C10" t="str">
        <f t="shared" ca="1" si="1"/>
        <v>месяц закрыт</v>
      </c>
    </row>
    <row r="11" spans="1:4" x14ac:dyDescent="0.25">
      <c r="A11" s="5">
        <v>42745</v>
      </c>
      <c r="B11" s="5">
        <f t="shared" si="0"/>
        <v>42766</v>
      </c>
      <c r="C11" t="str">
        <f t="shared" ca="1" si="1"/>
        <v>месяц закрыт</v>
      </c>
    </row>
    <row r="12" spans="1:4" x14ac:dyDescent="0.25">
      <c r="A12" s="5">
        <v>42746</v>
      </c>
      <c r="B12" s="5">
        <f t="shared" si="0"/>
        <v>42766</v>
      </c>
      <c r="C12" t="str">
        <f t="shared" ca="1" si="1"/>
        <v>месяц закрыт</v>
      </c>
    </row>
    <row r="13" spans="1:4" x14ac:dyDescent="0.25">
      <c r="A13" s="5">
        <v>42747</v>
      </c>
      <c r="B13" s="5">
        <f t="shared" si="0"/>
        <v>42766</v>
      </c>
      <c r="C13" t="str">
        <f t="shared" ca="1" si="1"/>
        <v>месяц закрыт</v>
      </c>
    </row>
    <row r="14" spans="1:4" x14ac:dyDescent="0.25">
      <c r="A14" s="5">
        <v>42748</v>
      </c>
      <c r="B14" s="5">
        <f t="shared" si="0"/>
        <v>42766</v>
      </c>
      <c r="C14" t="str">
        <f t="shared" ca="1" si="1"/>
        <v>месяц закрыт</v>
      </c>
    </row>
    <row r="15" spans="1:4" x14ac:dyDescent="0.25">
      <c r="A15" s="5">
        <v>42749</v>
      </c>
      <c r="B15" s="5">
        <f t="shared" si="0"/>
        <v>42766</v>
      </c>
      <c r="C15" t="str">
        <f t="shared" ca="1" si="1"/>
        <v>месяц закрыт</v>
      </c>
    </row>
    <row r="16" spans="1:4" x14ac:dyDescent="0.25">
      <c r="A16" s="5">
        <v>42750</v>
      </c>
      <c r="B16" s="5">
        <f t="shared" si="0"/>
        <v>42766</v>
      </c>
      <c r="C16" t="str">
        <f t="shared" ca="1" si="1"/>
        <v>месяц закрыт</v>
      </c>
    </row>
    <row r="17" spans="1:3" x14ac:dyDescent="0.25">
      <c r="A17" s="5">
        <v>42751</v>
      </c>
      <c r="B17" s="5">
        <f t="shared" si="0"/>
        <v>42766</v>
      </c>
      <c r="C17" t="str">
        <f t="shared" ca="1" si="1"/>
        <v>месяц закрыт</v>
      </c>
    </row>
    <row r="18" spans="1:3" x14ac:dyDescent="0.25">
      <c r="A18" s="5">
        <v>42752</v>
      </c>
      <c r="B18" s="5">
        <f t="shared" si="0"/>
        <v>42766</v>
      </c>
      <c r="C18" t="str">
        <f t="shared" ca="1" si="1"/>
        <v>месяц закрыт</v>
      </c>
    </row>
    <row r="19" spans="1:3" x14ac:dyDescent="0.25">
      <c r="A19" s="5">
        <v>42753</v>
      </c>
      <c r="B19" s="5">
        <f t="shared" si="0"/>
        <v>42766</v>
      </c>
      <c r="C19" t="str">
        <f t="shared" ca="1" si="1"/>
        <v>месяц закрыт</v>
      </c>
    </row>
    <row r="20" spans="1:3" x14ac:dyDescent="0.25">
      <c r="A20" s="5">
        <v>42754</v>
      </c>
      <c r="B20" s="5">
        <f t="shared" si="0"/>
        <v>42766</v>
      </c>
      <c r="C20" t="str">
        <f t="shared" ca="1" si="1"/>
        <v>месяц закрыт</v>
      </c>
    </row>
    <row r="21" spans="1:3" x14ac:dyDescent="0.25">
      <c r="A21" s="5">
        <v>42755</v>
      </c>
      <c r="B21" s="5">
        <f t="shared" si="0"/>
        <v>42766</v>
      </c>
      <c r="C21" t="str">
        <f t="shared" ca="1" si="1"/>
        <v>месяц закрыт</v>
      </c>
    </row>
    <row r="22" spans="1:3" x14ac:dyDescent="0.25">
      <c r="A22" s="5">
        <v>42756</v>
      </c>
      <c r="B22" s="5">
        <f t="shared" si="0"/>
        <v>42766</v>
      </c>
      <c r="C22" t="str">
        <f t="shared" ca="1" si="1"/>
        <v>месяц закрыт</v>
      </c>
    </row>
    <row r="23" spans="1:3" x14ac:dyDescent="0.25">
      <c r="A23" s="5">
        <v>42757</v>
      </c>
      <c r="B23" s="5">
        <f t="shared" si="0"/>
        <v>42766</v>
      </c>
      <c r="C23" t="str">
        <f t="shared" ca="1" si="1"/>
        <v>месяц закрыт</v>
      </c>
    </row>
    <row r="24" spans="1:3" x14ac:dyDescent="0.25">
      <c r="A24" s="5">
        <v>42758</v>
      </c>
      <c r="B24" s="5">
        <f t="shared" si="0"/>
        <v>42766</v>
      </c>
      <c r="C24" t="str">
        <f t="shared" ca="1" si="1"/>
        <v>месяц закрыт</v>
      </c>
    </row>
    <row r="25" spans="1:3" x14ac:dyDescent="0.25">
      <c r="A25" s="5">
        <v>42759</v>
      </c>
      <c r="B25" s="5">
        <f t="shared" si="0"/>
        <v>42766</v>
      </c>
      <c r="C25" t="str">
        <f t="shared" ca="1" si="1"/>
        <v>месяц закрыт</v>
      </c>
    </row>
    <row r="26" spans="1:3" x14ac:dyDescent="0.25">
      <c r="A26" s="5">
        <v>42760</v>
      </c>
      <c r="B26" s="5">
        <f t="shared" si="0"/>
        <v>42766</v>
      </c>
      <c r="C26" t="str">
        <f t="shared" ca="1" si="1"/>
        <v>месяц закрыт</v>
      </c>
    </row>
    <row r="27" spans="1:3" x14ac:dyDescent="0.25">
      <c r="A27" s="5">
        <v>42761</v>
      </c>
      <c r="B27" s="5">
        <f t="shared" si="0"/>
        <v>42766</v>
      </c>
      <c r="C27" t="str">
        <f t="shared" ca="1" si="1"/>
        <v>месяц закрыт</v>
      </c>
    </row>
    <row r="28" spans="1:3" x14ac:dyDescent="0.25">
      <c r="A28" s="5">
        <v>42762</v>
      </c>
      <c r="B28" s="5">
        <f t="shared" si="0"/>
        <v>42766</v>
      </c>
      <c r="C28" t="str">
        <f t="shared" ca="1" si="1"/>
        <v>месяц закрыт</v>
      </c>
    </row>
    <row r="29" spans="1:3" x14ac:dyDescent="0.25">
      <c r="A29" s="5">
        <v>42763</v>
      </c>
      <c r="B29" s="5">
        <f t="shared" si="0"/>
        <v>42766</v>
      </c>
      <c r="C29" t="str">
        <f t="shared" ca="1" si="1"/>
        <v>месяц закрыт</v>
      </c>
    </row>
    <row r="30" spans="1:3" x14ac:dyDescent="0.25">
      <c r="A30" s="5">
        <v>42764</v>
      </c>
      <c r="B30" s="5">
        <f t="shared" si="0"/>
        <v>42766</v>
      </c>
      <c r="C30" t="str">
        <f t="shared" ca="1" si="1"/>
        <v>месяц закрыт</v>
      </c>
    </row>
    <row r="31" spans="1:3" x14ac:dyDescent="0.25">
      <c r="A31" s="5">
        <v>42765</v>
      </c>
      <c r="B31" s="5">
        <f t="shared" si="0"/>
        <v>42766</v>
      </c>
      <c r="C31" t="str">
        <f t="shared" ca="1" si="1"/>
        <v>месяц закрыт</v>
      </c>
    </row>
    <row r="32" spans="1:3" x14ac:dyDescent="0.25">
      <c r="A32" s="5">
        <v>42766</v>
      </c>
      <c r="B32" s="5">
        <f t="shared" si="0"/>
        <v>42766</v>
      </c>
      <c r="C32" t="str">
        <f t="shared" ca="1" si="1"/>
        <v>месяц закрыт</v>
      </c>
    </row>
    <row r="33" spans="1:3" x14ac:dyDescent="0.25">
      <c r="A33" s="5">
        <v>42767</v>
      </c>
      <c r="B33" s="5">
        <f t="shared" si="0"/>
        <v>42794</v>
      </c>
      <c r="C33" t="str">
        <f t="shared" ca="1" si="1"/>
        <v>месяц закрыт</v>
      </c>
    </row>
    <row r="34" spans="1:3" x14ac:dyDescent="0.25">
      <c r="A34" s="5">
        <v>42768</v>
      </c>
      <c r="B34" s="5">
        <f t="shared" si="0"/>
        <v>42794</v>
      </c>
      <c r="C34" t="str">
        <f t="shared" ca="1" si="1"/>
        <v>месяц закрыт</v>
      </c>
    </row>
    <row r="35" spans="1:3" x14ac:dyDescent="0.25">
      <c r="A35" s="5">
        <v>42769</v>
      </c>
      <c r="B35" s="5">
        <f t="shared" si="0"/>
        <v>42794</v>
      </c>
      <c r="C35" t="str">
        <f t="shared" ca="1" si="1"/>
        <v>месяц закрыт</v>
      </c>
    </row>
    <row r="36" spans="1:3" x14ac:dyDescent="0.25">
      <c r="A36" s="5">
        <v>42770</v>
      </c>
      <c r="B36" s="5">
        <f t="shared" si="0"/>
        <v>42794</v>
      </c>
      <c r="C36" t="str">
        <f t="shared" ca="1" si="1"/>
        <v>месяц закрыт</v>
      </c>
    </row>
    <row r="37" spans="1:3" x14ac:dyDescent="0.25">
      <c r="A37" s="5">
        <v>42771</v>
      </c>
      <c r="B37" s="5">
        <f t="shared" si="0"/>
        <v>42794</v>
      </c>
      <c r="C37" t="str">
        <f t="shared" ca="1" si="1"/>
        <v>месяц закрыт</v>
      </c>
    </row>
    <row r="38" spans="1:3" x14ac:dyDescent="0.25">
      <c r="A38" s="5">
        <v>42772</v>
      </c>
      <c r="B38" s="5">
        <f t="shared" si="0"/>
        <v>42794</v>
      </c>
      <c r="C38" t="str">
        <f t="shared" ca="1" si="1"/>
        <v>месяц закрыт</v>
      </c>
    </row>
    <row r="39" spans="1:3" x14ac:dyDescent="0.25">
      <c r="A39" s="5">
        <v>42773</v>
      </c>
      <c r="B39" s="5">
        <f t="shared" si="0"/>
        <v>42794</v>
      </c>
      <c r="C39" t="str">
        <f t="shared" ca="1" si="1"/>
        <v>месяц закрыт</v>
      </c>
    </row>
    <row r="40" spans="1:3" x14ac:dyDescent="0.25">
      <c r="A40" s="5">
        <v>42774</v>
      </c>
      <c r="B40" s="5">
        <f t="shared" si="0"/>
        <v>42794</v>
      </c>
      <c r="C40" t="str">
        <f t="shared" ca="1" si="1"/>
        <v>месяц закрыт</v>
      </c>
    </row>
    <row r="41" spans="1:3" x14ac:dyDescent="0.25">
      <c r="A41" s="5">
        <v>42775</v>
      </c>
      <c r="B41" s="5">
        <f t="shared" si="0"/>
        <v>42794</v>
      </c>
      <c r="C41" t="str">
        <f t="shared" ca="1" si="1"/>
        <v>месяц закрыт</v>
      </c>
    </row>
    <row r="42" spans="1:3" x14ac:dyDescent="0.25">
      <c r="A42" s="5">
        <v>42776</v>
      </c>
      <c r="B42" s="5">
        <f t="shared" si="0"/>
        <v>42794</v>
      </c>
      <c r="C42" t="str">
        <f t="shared" ca="1" si="1"/>
        <v>месяц закрыт</v>
      </c>
    </row>
    <row r="43" spans="1:3" x14ac:dyDescent="0.25">
      <c r="A43" s="5">
        <v>42777</v>
      </c>
      <c r="B43" s="5">
        <f t="shared" si="0"/>
        <v>42794</v>
      </c>
      <c r="C43" t="str">
        <f t="shared" ca="1" si="1"/>
        <v>месяц закрыт</v>
      </c>
    </row>
    <row r="44" spans="1:3" x14ac:dyDescent="0.25">
      <c r="A44" s="5">
        <v>42778</v>
      </c>
      <c r="B44" s="5">
        <f t="shared" si="0"/>
        <v>42794</v>
      </c>
      <c r="C44" t="str">
        <f t="shared" ca="1" si="1"/>
        <v>месяц закрыт</v>
      </c>
    </row>
    <row r="45" spans="1:3" x14ac:dyDescent="0.25">
      <c r="A45" s="5">
        <v>42779</v>
      </c>
      <c r="B45" s="5">
        <f t="shared" si="0"/>
        <v>42794</v>
      </c>
      <c r="C45" t="str">
        <f t="shared" ca="1" si="1"/>
        <v>месяц закрыт</v>
      </c>
    </row>
    <row r="46" spans="1:3" x14ac:dyDescent="0.25">
      <c r="A46" s="5">
        <v>42780</v>
      </c>
      <c r="B46" s="5">
        <f t="shared" si="0"/>
        <v>42794</v>
      </c>
      <c r="C46" t="str">
        <f t="shared" ca="1" si="1"/>
        <v>месяц закрыт</v>
      </c>
    </row>
    <row r="47" spans="1:3" x14ac:dyDescent="0.25">
      <c r="A47" s="5">
        <v>42781</v>
      </c>
      <c r="B47" s="5">
        <f t="shared" si="0"/>
        <v>42794</v>
      </c>
      <c r="C47" t="str">
        <f t="shared" ca="1" si="1"/>
        <v>месяц закрыт</v>
      </c>
    </row>
    <row r="48" spans="1:3" x14ac:dyDescent="0.25">
      <c r="A48" s="5">
        <v>42782</v>
      </c>
      <c r="B48" s="5">
        <f t="shared" si="0"/>
        <v>42794</v>
      </c>
      <c r="C48" t="str">
        <f t="shared" ca="1" si="1"/>
        <v>месяц закрыт</v>
      </c>
    </row>
    <row r="49" spans="1:3" x14ac:dyDescent="0.25">
      <c r="A49" s="5">
        <v>42783</v>
      </c>
      <c r="B49" s="5">
        <f t="shared" si="0"/>
        <v>42794</v>
      </c>
      <c r="C49" t="str">
        <f t="shared" ca="1" si="1"/>
        <v>месяц закрыт</v>
      </c>
    </row>
    <row r="50" spans="1:3" x14ac:dyDescent="0.25">
      <c r="A50" s="5">
        <v>42784</v>
      </c>
      <c r="B50" s="5">
        <f t="shared" si="0"/>
        <v>42794</v>
      </c>
      <c r="C50" t="str">
        <f t="shared" ca="1" si="1"/>
        <v>месяц закрыт</v>
      </c>
    </row>
    <row r="51" spans="1:3" x14ac:dyDescent="0.25">
      <c r="A51" s="5">
        <v>42785</v>
      </c>
      <c r="B51" s="5">
        <f t="shared" si="0"/>
        <v>42794</v>
      </c>
      <c r="C51" t="str">
        <f t="shared" ca="1" si="1"/>
        <v>месяц закрыт</v>
      </c>
    </row>
    <row r="52" spans="1:3" x14ac:dyDescent="0.25">
      <c r="A52" s="5">
        <v>42786</v>
      </c>
      <c r="B52" s="5">
        <f t="shared" si="0"/>
        <v>42794</v>
      </c>
      <c r="C52" t="str">
        <f t="shared" ca="1" si="1"/>
        <v>месяц закрыт</v>
      </c>
    </row>
    <row r="53" spans="1:3" x14ac:dyDescent="0.25">
      <c r="A53" s="5">
        <v>42787</v>
      </c>
      <c r="B53" s="5">
        <f t="shared" si="0"/>
        <v>42794</v>
      </c>
      <c r="C53" t="str">
        <f t="shared" ca="1" si="1"/>
        <v>месяц закрыт</v>
      </c>
    </row>
    <row r="54" spans="1:3" x14ac:dyDescent="0.25">
      <c r="A54" s="5">
        <v>42788</v>
      </c>
      <c r="B54" s="5">
        <f t="shared" si="0"/>
        <v>42794</v>
      </c>
      <c r="C54" t="str">
        <f t="shared" ca="1" si="1"/>
        <v>месяц закрыт</v>
      </c>
    </row>
    <row r="55" spans="1:3" x14ac:dyDescent="0.25">
      <c r="A55" s="5">
        <v>42789</v>
      </c>
      <c r="B55" s="5">
        <f t="shared" si="0"/>
        <v>42794</v>
      </c>
      <c r="C55" t="str">
        <f t="shared" ca="1" si="1"/>
        <v>месяц закрыт</v>
      </c>
    </row>
    <row r="56" spans="1:3" x14ac:dyDescent="0.25">
      <c r="A56" s="5">
        <v>42790</v>
      </c>
      <c r="B56" s="5">
        <f t="shared" si="0"/>
        <v>42794</v>
      </c>
      <c r="C56" t="str">
        <f t="shared" ca="1" si="1"/>
        <v>месяц закрыт</v>
      </c>
    </row>
    <row r="57" spans="1:3" x14ac:dyDescent="0.25">
      <c r="A57" s="5">
        <v>42791</v>
      </c>
      <c r="B57" s="5">
        <f t="shared" si="0"/>
        <v>42794</v>
      </c>
      <c r="C57" t="str">
        <f t="shared" ca="1" si="1"/>
        <v>месяц закрыт</v>
      </c>
    </row>
    <row r="58" spans="1:3" x14ac:dyDescent="0.25">
      <c r="A58" s="5">
        <v>42792</v>
      </c>
      <c r="B58" s="5">
        <f t="shared" si="0"/>
        <v>42794</v>
      </c>
      <c r="C58" t="str">
        <f t="shared" ca="1" si="1"/>
        <v>месяц закрыт</v>
      </c>
    </row>
    <row r="59" spans="1:3" x14ac:dyDescent="0.25">
      <c r="A59" s="5">
        <v>42793</v>
      </c>
      <c r="B59" s="5">
        <f t="shared" si="0"/>
        <v>42794</v>
      </c>
      <c r="C59" t="str">
        <f t="shared" ca="1" si="1"/>
        <v>месяц закрыт</v>
      </c>
    </row>
    <row r="60" spans="1:3" x14ac:dyDescent="0.25">
      <c r="A60" s="5">
        <v>42794</v>
      </c>
      <c r="B60" s="5">
        <f t="shared" si="0"/>
        <v>42794</v>
      </c>
      <c r="C60" t="str">
        <f t="shared" ca="1" si="1"/>
        <v>месяц закрыт</v>
      </c>
    </row>
    <row r="61" spans="1:3" x14ac:dyDescent="0.25">
      <c r="A61" s="5">
        <v>42795</v>
      </c>
      <c r="B61" s="5">
        <f t="shared" si="0"/>
        <v>42825</v>
      </c>
      <c r="C61" t="str">
        <f t="shared" ca="1" si="1"/>
        <v>месяц закрыт</v>
      </c>
    </row>
    <row r="62" spans="1:3" x14ac:dyDescent="0.25">
      <c r="A62" s="5">
        <v>42796</v>
      </c>
      <c r="B62" s="5">
        <f t="shared" si="0"/>
        <v>42825</v>
      </c>
      <c r="C62" t="str">
        <f t="shared" ca="1" si="1"/>
        <v>месяц закрыт</v>
      </c>
    </row>
    <row r="63" spans="1:3" x14ac:dyDescent="0.25">
      <c r="A63" s="5">
        <v>42797</v>
      </c>
      <c r="B63" s="5">
        <f t="shared" si="0"/>
        <v>42825</v>
      </c>
      <c r="C63" t="str">
        <f t="shared" ca="1" si="1"/>
        <v>месяц закрыт</v>
      </c>
    </row>
    <row r="64" spans="1:3" x14ac:dyDescent="0.25">
      <c r="A64" s="5">
        <v>42798</v>
      </c>
      <c r="B64" s="5">
        <f t="shared" si="0"/>
        <v>42825</v>
      </c>
      <c r="C64" t="str">
        <f t="shared" ca="1" si="1"/>
        <v>месяц закрыт</v>
      </c>
    </row>
    <row r="65" spans="1:3" x14ac:dyDescent="0.25">
      <c r="A65" s="5">
        <v>42799</v>
      </c>
      <c r="B65" s="5">
        <f t="shared" si="0"/>
        <v>42825</v>
      </c>
      <c r="C65" t="str">
        <f t="shared" ca="1" si="1"/>
        <v>месяц закрыт</v>
      </c>
    </row>
    <row r="66" spans="1:3" x14ac:dyDescent="0.25">
      <c r="A66" s="5">
        <v>42800</v>
      </c>
      <c r="B66" s="5">
        <f t="shared" si="0"/>
        <v>42825</v>
      </c>
      <c r="C66" t="str">
        <f t="shared" ca="1" si="1"/>
        <v>месяц закрыт</v>
      </c>
    </row>
    <row r="67" spans="1:3" x14ac:dyDescent="0.25">
      <c r="A67" s="5">
        <v>42801</v>
      </c>
      <c r="B67" s="5">
        <f t="shared" ref="B67:B130" si="2">EOMONTH(A67,0)</f>
        <v>42825</v>
      </c>
      <c r="C67" t="str">
        <f t="shared" ref="C67:C130" ca="1" si="3">IF((B67-$D$2)&lt;0,"месяц закрыт","месяц не закрыт")</f>
        <v>месяц закрыт</v>
      </c>
    </row>
    <row r="68" spans="1:3" x14ac:dyDescent="0.25">
      <c r="A68" s="5">
        <v>42802</v>
      </c>
      <c r="B68" s="5">
        <f t="shared" si="2"/>
        <v>42825</v>
      </c>
      <c r="C68" t="str">
        <f t="shared" ca="1" si="3"/>
        <v>месяц закрыт</v>
      </c>
    </row>
    <row r="69" spans="1:3" x14ac:dyDescent="0.25">
      <c r="A69" s="5">
        <v>42803</v>
      </c>
      <c r="B69" s="5">
        <f t="shared" si="2"/>
        <v>42825</v>
      </c>
      <c r="C69" t="str">
        <f t="shared" ca="1" si="3"/>
        <v>месяц закрыт</v>
      </c>
    </row>
    <row r="70" spans="1:3" x14ac:dyDescent="0.25">
      <c r="A70" s="5">
        <v>42804</v>
      </c>
      <c r="B70" s="5">
        <f t="shared" si="2"/>
        <v>42825</v>
      </c>
      <c r="C70" t="str">
        <f t="shared" ca="1" si="3"/>
        <v>месяц закрыт</v>
      </c>
    </row>
    <row r="71" spans="1:3" x14ac:dyDescent="0.25">
      <c r="A71" s="5">
        <v>42805</v>
      </c>
      <c r="B71" s="5">
        <f t="shared" si="2"/>
        <v>42825</v>
      </c>
      <c r="C71" t="str">
        <f t="shared" ca="1" si="3"/>
        <v>месяц закрыт</v>
      </c>
    </row>
    <row r="72" spans="1:3" x14ac:dyDescent="0.25">
      <c r="A72" s="5">
        <v>42806</v>
      </c>
      <c r="B72" s="5">
        <f t="shared" si="2"/>
        <v>42825</v>
      </c>
      <c r="C72" t="str">
        <f t="shared" ca="1" si="3"/>
        <v>месяц закрыт</v>
      </c>
    </row>
    <row r="73" spans="1:3" x14ac:dyDescent="0.25">
      <c r="A73" s="5">
        <v>42807</v>
      </c>
      <c r="B73" s="5">
        <f t="shared" si="2"/>
        <v>42825</v>
      </c>
      <c r="C73" t="str">
        <f t="shared" ca="1" si="3"/>
        <v>месяц закрыт</v>
      </c>
    </row>
    <row r="74" spans="1:3" x14ac:dyDescent="0.25">
      <c r="A74" s="5">
        <v>42808</v>
      </c>
      <c r="B74" s="5">
        <f t="shared" si="2"/>
        <v>42825</v>
      </c>
      <c r="C74" t="str">
        <f t="shared" ca="1" si="3"/>
        <v>месяц закрыт</v>
      </c>
    </row>
    <row r="75" spans="1:3" x14ac:dyDescent="0.25">
      <c r="A75" s="5">
        <v>42809</v>
      </c>
      <c r="B75" s="5">
        <f t="shared" si="2"/>
        <v>42825</v>
      </c>
      <c r="C75" t="str">
        <f t="shared" ca="1" si="3"/>
        <v>месяц закрыт</v>
      </c>
    </row>
    <row r="76" spans="1:3" x14ac:dyDescent="0.25">
      <c r="A76" s="5">
        <v>42810</v>
      </c>
      <c r="B76" s="5">
        <f t="shared" si="2"/>
        <v>42825</v>
      </c>
      <c r="C76" t="str">
        <f t="shared" ca="1" si="3"/>
        <v>месяц закрыт</v>
      </c>
    </row>
    <row r="77" spans="1:3" x14ac:dyDescent="0.25">
      <c r="A77" s="5">
        <v>42811</v>
      </c>
      <c r="B77" s="5">
        <f t="shared" si="2"/>
        <v>42825</v>
      </c>
      <c r="C77" t="str">
        <f t="shared" ca="1" si="3"/>
        <v>месяц закрыт</v>
      </c>
    </row>
    <row r="78" spans="1:3" x14ac:dyDescent="0.25">
      <c r="A78" s="5">
        <v>42812</v>
      </c>
      <c r="B78" s="5">
        <f t="shared" si="2"/>
        <v>42825</v>
      </c>
      <c r="C78" t="str">
        <f t="shared" ca="1" si="3"/>
        <v>месяц закрыт</v>
      </c>
    </row>
    <row r="79" spans="1:3" x14ac:dyDescent="0.25">
      <c r="A79" s="5">
        <v>42813</v>
      </c>
      <c r="B79" s="5">
        <f t="shared" si="2"/>
        <v>42825</v>
      </c>
      <c r="C79" t="str">
        <f t="shared" ca="1" si="3"/>
        <v>месяц закрыт</v>
      </c>
    </row>
    <row r="80" spans="1:3" x14ac:dyDescent="0.25">
      <c r="A80" s="5">
        <v>42814</v>
      </c>
      <c r="B80" s="5">
        <f t="shared" si="2"/>
        <v>42825</v>
      </c>
      <c r="C80" t="str">
        <f t="shared" ca="1" si="3"/>
        <v>месяц закрыт</v>
      </c>
    </row>
    <row r="81" spans="1:3" x14ac:dyDescent="0.25">
      <c r="A81" s="5">
        <v>42815</v>
      </c>
      <c r="B81" s="5">
        <f t="shared" si="2"/>
        <v>42825</v>
      </c>
      <c r="C81" t="str">
        <f t="shared" ca="1" si="3"/>
        <v>месяц закрыт</v>
      </c>
    </row>
    <row r="82" spans="1:3" x14ac:dyDescent="0.25">
      <c r="A82" s="5">
        <v>42816</v>
      </c>
      <c r="B82" s="5">
        <f t="shared" si="2"/>
        <v>42825</v>
      </c>
      <c r="C82" t="str">
        <f t="shared" ca="1" si="3"/>
        <v>месяц закрыт</v>
      </c>
    </row>
    <row r="83" spans="1:3" x14ac:dyDescent="0.25">
      <c r="A83" s="5">
        <v>42817</v>
      </c>
      <c r="B83" s="5">
        <f t="shared" si="2"/>
        <v>42825</v>
      </c>
      <c r="C83" t="str">
        <f t="shared" ca="1" si="3"/>
        <v>месяц закрыт</v>
      </c>
    </row>
    <row r="84" spans="1:3" x14ac:dyDescent="0.25">
      <c r="A84" s="5">
        <v>42818</v>
      </c>
      <c r="B84" s="5">
        <f t="shared" si="2"/>
        <v>42825</v>
      </c>
      <c r="C84" t="str">
        <f t="shared" ca="1" si="3"/>
        <v>месяц закрыт</v>
      </c>
    </row>
    <row r="85" spans="1:3" x14ac:dyDescent="0.25">
      <c r="A85" s="5">
        <v>42819</v>
      </c>
      <c r="B85" s="5">
        <f t="shared" si="2"/>
        <v>42825</v>
      </c>
      <c r="C85" t="str">
        <f t="shared" ca="1" si="3"/>
        <v>месяц закрыт</v>
      </c>
    </row>
    <row r="86" spans="1:3" x14ac:dyDescent="0.25">
      <c r="A86" s="5">
        <v>42820</v>
      </c>
      <c r="B86" s="5">
        <f t="shared" si="2"/>
        <v>42825</v>
      </c>
      <c r="C86" t="str">
        <f t="shared" ca="1" si="3"/>
        <v>месяц закрыт</v>
      </c>
    </row>
    <row r="87" spans="1:3" x14ac:dyDescent="0.25">
      <c r="A87" s="5">
        <v>42821</v>
      </c>
      <c r="B87" s="5">
        <f t="shared" si="2"/>
        <v>42825</v>
      </c>
      <c r="C87" t="str">
        <f t="shared" ca="1" si="3"/>
        <v>месяц закрыт</v>
      </c>
    </row>
    <row r="88" spans="1:3" x14ac:dyDescent="0.25">
      <c r="A88" s="5">
        <v>42822</v>
      </c>
      <c r="B88" s="5">
        <f t="shared" si="2"/>
        <v>42825</v>
      </c>
      <c r="C88" t="str">
        <f t="shared" ca="1" si="3"/>
        <v>месяц закрыт</v>
      </c>
    </row>
    <row r="89" spans="1:3" x14ac:dyDescent="0.25">
      <c r="A89" s="5">
        <v>42823</v>
      </c>
      <c r="B89" s="5">
        <f t="shared" si="2"/>
        <v>42825</v>
      </c>
      <c r="C89" t="str">
        <f t="shared" ca="1" si="3"/>
        <v>месяц закрыт</v>
      </c>
    </row>
    <row r="90" spans="1:3" x14ac:dyDescent="0.25">
      <c r="A90" s="5">
        <v>42824</v>
      </c>
      <c r="B90" s="5">
        <f t="shared" si="2"/>
        <v>42825</v>
      </c>
      <c r="C90" t="str">
        <f t="shared" ca="1" si="3"/>
        <v>месяц закрыт</v>
      </c>
    </row>
    <row r="91" spans="1:3" x14ac:dyDescent="0.25">
      <c r="A91" s="5">
        <v>42825</v>
      </c>
      <c r="B91" s="5">
        <f t="shared" si="2"/>
        <v>42825</v>
      </c>
      <c r="C91" t="str">
        <f t="shared" ca="1" si="3"/>
        <v>месяц закрыт</v>
      </c>
    </row>
    <row r="92" spans="1:3" x14ac:dyDescent="0.25">
      <c r="A92" s="5">
        <v>42826</v>
      </c>
      <c r="B92" s="5">
        <f t="shared" si="2"/>
        <v>42855</v>
      </c>
      <c r="C92" t="str">
        <f t="shared" ca="1" si="3"/>
        <v>месяц закрыт</v>
      </c>
    </row>
    <row r="93" spans="1:3" x14ac:dyDescent="0.25">
      <c r="A93" s="5">
        <v>42827</v>
      </c>
      <c r="B93" s="5">
        <f t="shared" si="2"/>
        <v>42855</v>
      </c>
      <c r="C93" t="str">
        <f t="shared" ca="1" si="3"/>
        <v>месяц закрыт</v>
      </c>
    </row>
    <row r="94" spans="1:3" x14ac:dyDescent="0.25">
      <c r="A94" s="5">
        <v>42828</v>
      </c>
      <c r="B94" s="5">
        <f t="shared" si="2"/>
        <v>42855</v>
      </c>
      <c r="C94" t="str">
        <f t="shared" ca="1" si="3"/>
        <v>месяц закрыт</v>
      </c>
    </row>
    <row r="95" spans="1:3" x14ac:dyDescent="0.25">
      <c r="A95" s="5">
        <v>42829</v>
      </c>
      <c r="B95" s="5">
        <f t="shared" si="2"/>
        <v>42855</v>
      </c>
      <c r="C95" t="str">
        <f t="shared" ca="1" si="3"/>
        <v>месяц закрыт</v>
      </c>
    </row>
    <row r="96" spans="1:3" x14ac:dyDescent="0.25">
      <c r="A96" s="5">
        <v>42830</v>
      </c>
      <c r="B96" s="5">
        <f t="shared" si="2"/>
        <v>42855</v>
      </c>
      <c r="C96" t="str">
        <f t="shared" ca="1" si="3"/>
        <v>месяц закрыт</v>
      </c>
    </row>
    <row r="97" spans="1:3" x14ac:dyDescent="0.25">
      <c r="A97" s="5">
        <v>42831</v>
      </c>
      <c r="B97" s="5">
        <f t="shared" si="2"/>
        <v>42855</v>
      </c>
      <c r="C97" t="str">
        <f t="shared" ca="1" si="3"/>
        <v>месяц закрыт</v>
      </c>
    </row>
    <row r="98" spans="1:3" x14ac:dyDescent="0.25">
      <c r="A98" s="5">
        <v>42832</v>
      </c>
      <c r="B98" s="5">
        <f t="shared" si="2"/>
        <v>42855</v>
      </c>
      <c r="C98" t="str">
        <f t="shared" ca="1" si="3"/>
        <v>месяц закрыт</v>
      </c>
    </row>
    <row r="99" spans="1:3" x14ac:dyDescent="0.25">
      <c r="A99" s="5">
        <v>42833</v>
      </c>
      <c r="B99" s="5">
        <f t="shared" si="2"/>
        <v>42855</v>
      </c>
      <c r="C99" t="str">
        <f t="shared" ca="1" si="3"/>
        <v>месяц закрыт</v>
      </c>
    </row>
    <row r="100" spans="1:3" x14ac:dyDescent="0.25">
      <c r="A100" s="5">
        <v>42834</v>
      </c>
      <c r="B100" s="5">
        <f t="shared" si="2"/>
        <v>42855</v>
      </c>
      <c r="C100" t="str">
        <f t="shared" ca="1" si="3"/>
        <v>месяц закрыт</v>
      </c>
    </row>
    <row r="101" spans="1:3" x14ac:dyDescent="0.25">
      <c r="A101" s="5">
        <v>42835</v>
      </c>
      <c r="B101" s="5">
        <f t="shared" si="2"/>
        <v>42855</v>
      </c>
      <c r="C101" t="str">
        <f t="shared" ca="1" si="3"/>
        <v>месяц закрыт</v>
      </c>
    </row>
    <row r="102" spans="1:3" x14ac:dyDescent="0.25">
      <c r="A102" s="5">
        <v>42836</v>
      </c>
      <c r="B102" s="5">
        <f t="shared" si="2"/>
        <v>42855</v>
      </c>
      <c r="C102" t="str">
        <f t="shared" ca="1" si="3"/>
        <v>месяц закрыт</v>
      </c>
    </row>
    <row r="103" spans="1:3" x14ac:dyDescent="0.25">
      <c r="A103" s="5">
        <v>42837</v>
      </c>
      <c r="B103" s="5">
        <f t="shared" si="2"/>
        <v>42855</v>
      </c>
      <c r="C103" t="str">
        <f t="shared" ca="1" si="3"/>
        <v>месяц закрыт</v>
      </c>
    </row>
    <row r="104" spans="1:3" x14ac:dyDescent="0.25">
      <c r="A104" s="5">
        <v>42838</v>
      </c>
      <c r="B104" s="5">
        <f t="shared" si="2"/>
        <v>42855</v>
      </c>
      <c r="C104" t="str">
        <f t="shared" ca="1" si="3"/>
        <v>месяц закрыт</v>
      </c>
    </row>
    <row r="105" spans="1:3" x14ac:dyDescent="0.25">
      <c r="A105" s="5">
        <v>42839</v>
      </c>
      <c r="B105" s="5">
        <f t="shared" si="2"/>
        <v>42855</v>
      </c>
      <c r="C105" t="str">
        <f t="shared" ca="1" si="3"/>
        <v>месяц закрыт</v>
      </c>
    </row>
    <row r="106" spans="1:3" x14ac:dyDescent="0.25">
      <c r="A106" s="5">
        <v>42840</v>
      </c>
      <c r="B106" s="5">
        <f t="shared" si="2"/>
        <v>42855</v>
      </c>
      <c r="C106" t="str">
        <f t="shared" ca="1" si="3"/>
        <v>месяц закрыт</v>
      </c>
    </row>
    <row r="107" spans="1:3" x14ac:dyDescent="0.25">
      <c r="A107" s="5">
        <v>42841</v>
      </c>
      <c r="B107" s="5">
        <f t="shared" si="2"/>
        <v>42855</v>
      </c>
      <c r="C107" t="str">
        <f t="shared" ca="1" si="3"/>
        <v>месяц закрыт</v>
      </c>
    </row>
    <row r="108" spans="1:3" x14ac:dyDescent="0.25">
      <c r="A108" s="5">
        <v>42842</v>
      </c>
      <c r="B108" s="5">
        <f t="shared" si="2"/>
        <v>42855</v>
      </c>
      <c r="C108" t="str">
        <f t="shared" ca="1" si="3"/>
        <v>месяц закрыт</v>
      </c>
    </row>
    <row r="109" spans="1:3" x14ac:dyDescent="0.25">
      <c r="A109" s="5">
        <v>42843</v>
      </c>
      <c r="B109" s="5">
        <f t="shared" si="2"/>
        <v>42855</v>
      </c>
      <c r="C109" t="str">
        <f t="shared" ca="1" si="3"/>
        <v>месяц закрыт</v>
      </c>
    </row>
    <row r="110" spans="1:3" x14ac:dyDescent="0.25">
      <c r="A110" s="5">
        <v>42844</v>
      </c>
      <c r="B110" s="5">
        <f t="shared" si="2"/>
        <v>42855</v>
      </c>
      <c r="C110" t="str">
        <f t="shared" ca="1" si="3"/>
        <v>месяц закрыт</v>
      </c>
    </row>
    <row r="111" spans="1:3" x14ac:dyDescent="0.25">
      <c r="A111" s="5">
        <v>42845</v>
      </c>
      <c r="B111" s="5">
        <f t="shared" si="2"/>
        <v>42855</v>
      </c>
      <c r="C111" t="str">
        <f t="shared" ca="1" si="3"/>
        <v>месяц закрыт</v>
      </c>
    </row>
    <row r="112" spans="1:3" x14ac:dyDescent="0.25">
      <c r="A112" s="5">
        <v>42846</v>
      </c>
      <c r="B112" s="5">
        <f t="shared" si="2"/>
        <v>42855</v>
      </c>
      <c r="C112" t="str">
        <f t="shared" ca="1" si="3"/>
        <v>месяц закрыт</v>
      </c>
    </row>
    <row r="113" spans="1:3" x14ac:dyDescent="0.25">
      <c r="A113" s="5">
        <v>42847</v>
      </c>
      <c r="B113" s="5">
        <f t="shared" si="2"/>
        <v>42855</v>
      </c>
      <c r="C113" t="str">
        <f t="shared" ca="1" si="3"/>
        <v>месяц закрыт</v>
      </c>
    </row>
    <row r="114" spans="1:3" x14ac:dyDescent="0.25">
      <c r="A114" s="5">
        <v>42848</v>
      </c>
      <c r="B114" s="5">
        <f t="shared" si="2"/>
        <v>42855</v>
      </c>
      <c r="C114" t="str">
        <f t="shared" ca="1" si="3"/>
        <v>месяц закрыт</v>
      </c>
    </row>
    <row r="115" spans="1:3" x14ac:dyDescent="0.25">
      <c r="A115" s="5">
        <v>42849</v>
      </c>
      <c r="B115" s="5">
        <f t="shared" si="2"/>
        <v>42855</v>
      </c>
      <c r="C115" t="str">
        <f t="shared" ca="1" si="3"/>
        <v>месяц закрыт</v>
      </c>
    </row>
    <row r="116" spans="1:3" x14ac:dyDescent="0.25">
      <c r="A116" s="5">
        <v>42850</v>
      </c>
      <c r="B116" s="5">
        <f t="shared" si="2"/>
        <v>42855</v>
      </c>
      <c r="C116" t="str">
        <f t="shared" ca="1" si="3"/>
        <v>месяц закрыт</v>
      </c>
    </row>
    <row r="117" spans="1:3" x14ac:dyDescent="0.25">
      <c r="A117" s="5">
        <v>42851</v>
      </c>
      <c r="B117" s="5">
        <f t="shared" si="2"/>
        <v>42855</v>
      </c>
      <c r="C117" t="str">
        <f t="shared" ca="1" si="3"/>
        <v>месяц закрыт</v>
      </c>
    </row>
    <row r="118" spans="1:3" x14ac:dyDescent="0.25">
      <c r="A118" s="5">
        <v>42852</v>
      </c>
      <c r="B118" s="5">
        <f t="shared" si="2"/>
        <v>42855</v>
      </c>
      <c r="C118" t="str">
        <f t="shared" ca="1" si="3"/>
        <v>месяц закрыт</v>
      </c>
    </row>
    <row r="119" spans="1:3" x14ac:dyDescent="0.25">
      <c r="A119" s="5">
        <v>42853</v>
      </c>
      <c r="B119" s="5">
        <f t="shared" si="2"/>
        <v>42855</v>
      </c>
      <c r="C119" t="str">
        <f t="shared" ca="1" si="3"/>
        <v>месяц закрыт</v>
      </c>
    </row>
    <row r="120" spans="1:3" x14ac:dyDescent="0.25">
      <c r="A120" s="5">
        <v>42854</v>
      </c>
      <c r="B120" s="5">
        <f t="shared" si="2"/>
        <v>42855</v>
      </c>
      <c r="C120" t="str">
        <f t="shared" ca="1" si="3"/>
        <v>месяц закрыт</v>
      </c>
    </row>
    <row r="121" spans="1:3" x14ac:dyDescent="0.25">
      <c r="A121" s="5">
        <v>42855</v>
      </c>
      <c r="B121" s="5">
        <f t="shared" si="2"/>
        <v>42855</v>
      </c>
      <c r="C121" t="str">
        <f t="shared" ca="1" si="3"/>
        <v>месяц закрыт</v>
      </c>
    </row>
    <row r="122" spans="1:3" x14ac:dyDescent="0.25">
      <c r="A122" s="5">
        <v>42856</v>
      </c>
      <c r="B122" s="5">
        <f t="shared" si="2"/>
        <v>42886</v>
      </c>
      <c r="C122" t="str">
        <f t="shared" ca="1" si="3"/>
        <v>месяц закрыт</v>
      </c>
    </row>
    <row r="123" spans="1:3" x14ac:dyDescent="0.25">
      <c r="A123" s="5">
        <v>42857</v>
      </c>
      <c r="B123" s="5">
        <f t="shared" si="2"/>
        <v>42886</v>
      </c>
      <c r="C123" t="str">
        <f t="shared" ca="1" si="3"/>
        <v>месяц закрыт</v>
      </c>
    </row>
    <row r="124" spans="1:3" x14ac:dyDescent="0.25">
      <c r="A124" s="5">
        <v>42858</v>
      </c>
      <c r="B124" s="5">
        <f t="shared" si="2"/>
        <v>42886</v>
      </c>
      <c r="C124" t="str">
        <f t="shared" ca="1" si="3"/>
        <v>месяц закрыт</v>
      </c>
    </row>
    <row r="125" spans="1:3" x14ac:dyDescent="0.25">
      <c r="A125" s="5">
        <v>42859</v>
      </c>
      <c r="B125" s="5">
        <f t="shared" si="2"/>
        <v>42886</v>
      </c>
      <c r="C125" t="str">
        <f t="shared" ca="1" si="3"/>
        <v>месяц закрыт</v>
      </c>
    </row>
    <row r="126" spans="1:3" x14ac:dyDescent="0.25">
      <c r="A126" s="5">
        <v>42860</v>
      </c>
      <c r="B126" s="5">
        <f t="shared" si="2"/>
        <v>42886</v>
      </c>
      <c r="C126" t="str">
        <f t="shared" ca="1" si="3"/>
        <v>месяц закрыт</v>
      </c>
    </row>
    <row r="127" spans="1:3" x14ac:dyDescent="0.25">
      <c r="A127" s="5">
        <v>42861</v>
      </c>
      <c r="B127" s="5">
        <f t="shared" si="2"/>
        <v>42886</v>
      </c>
      <c r="C127" t="str">
        <f t="shared" ca="1" si="3"/>
        <v>месяц закрыт</v>
      </c>
    </row>
    <row r="128" spans="1:3" x14ac:dyDescent="0.25">
      <c r="A128" s="5">
        <v>42862</v>
      </c>
      <c r="B128" s="5">
        <f t="shared" si="2"/>
        <v>42886</v>
      </c>
      <c r="C128" t="str">
        <f t="shared" ca="1" si="3"/>
        <v>месяц закрыт</v>
      </c>
    </row>
    <row r="129" spans="1:3" x14ac:dyDescent="0.25">
      <c r="A129" s="5">
        <v>42863</v>
      </c>
      <c r="B129" s="5">
        <f t="shared" si="2"/>
        <v>42886</v>
      </c>
      <c r="C129" t="str">
        <f t="shared" ca="1" si="3"/>
        <v>месяц закрыт</v>
      </c>
    </row>
    <row r="130" spans="1:3" x14ac:dyDescent="0.25">
      <c r="A130" s="5">
        <v>42864</v>
      </c>
      <c r="B130" s="5">
        <f t="shared" si="2"/>
        <v>42886</v>
      </c>
      <c r="C130" t="str">
        <f t="shared" ca="1" si="3"/>
        <v>месяц закрыт</v>
      </c>
    </row>
    <row r="131" spans="1:3" x14ac:dyDescent="0.25">
      <c r="A131" s="5">
        <v>42865</v>
      </c>
      <c r="B131" s="5">
        <f t="shared" ref="B131:B194" si="4">EOMONTH(A131,0)</f>
        <v>42886</v>
      </c>
      <c r="C131" t="str">
        <f t="shared" ref="C131:C194" ca="1" si="5">IF((B131-$D$2)&lt;0,"месяц закрыт","месяц не закрыт")</f>
        <v>месяц закрыт</v>
      </c>
    </row>
    <row r="132" spans="1:3" x14ac:dyDescent="0.25">
      <c r="A132" s="5">
        <v>42866</v>
      </c>
      <c r="B132" s="5">
        <f t="shared" si="4"/>
        <v>42886</v>
      </c>
      <c r="C132" t="str">
        <f t="shared" ca="1" si="5"/>
        <v>месяц закрыт</v>
      </c>
    </row>
    <row r="133" spans="1:3" x14ac:dyDescent="0.25">
      <c r="A133" s="5">
        <v>42867</v>
      </c>
      <c r="B133" s="5">
        <f t="shared" si="4"/>
        <v>42886</v>
      </c>
      <c r="C133" t="str">
        <f t="shared" ca="1" si="5"/>
        <v>месяц закрыт</v>
      </c>
    </row>
    <row r="134" spans="1:3" x14ac:dyDescent="0.25">
      <c r="A134" s="5">
        <v>42868</v>
      </c>
      <c r="B134" s="5">
        <f t="shared" si="4"/>
        <v>42886</v>
      </c>
      <c r="C134" t="str">
        <f t="shared" ca="1" si="5"/>
        <v>месяц закрыт</v>
      </c>
    </row>
    <row r="135" spans="1:3" x14ac:dyDescent="0.25">
      <c r="A135" s="5">
        <v>42869</v>
      </c>
      <c r="B135" s="5">
        <f t="shared" si="4"/>
        <v>42886</v>
      </c>
      <c r="C135" t="str">
        <f t="shared" ca="1" si="5"/>
        <v>месяц закрыт</v>
      </c>
    </row>
    <row r="136" spans="1:3" x14ac:dyDescent="0.25">
      <c r="A136" s="5">
        <v>42870</v>
      </c>
      <c r="B136" s="5">
        <f t="shared" si="4"/>
        <v>42886</v>
      </c>
      <c r="C136" t="str">
        <f t="shared" ca="1" si="5"/>
        <v>месяц закрыт</v>
      </c>
    </row>
    <row r="137" spans="1:3" x14ac:dyDescent="0.25">
      <c r="A137" s="5">
        <v>42871</v>
      </c>
      <c r="B137" s="5">
        <f t="shared" si="4"/>
        <v>42886</v>
      </c>
      <c r="C137" t="str">
        <f t="shared" ca="1" si="5"/>
        <v>месяц закрыт</v>
      </c>
    </row>
    <row r="138" spans="1:3" x14ac:dyDescent="0.25">
      <c r="A138" s="5">
        <v>42872</v>
      </c>
      <c r="B138" s="5">
        <f t="shared" si="4"/>
        <v>42886</v>
      </c>
      <c r="C138" t="str">
        <f t="shared" ca="1" si="5"/>
        <v>месяц закрыт</v>
      </c>
    </row>
    <row r="139" spans="1:3" x14ac:dyDescent="0.25">
      <c r="A139" s="5">
        <v>42873</v>
      </c>
      <c r="B139" s="5">
        <f t="shared" si="4"/>
        <v>42886</v>
      </c>
      <c r="C139" t="str">
        <f t="shared" ca="1" si="5"/>
        <v>месяц закрыт</v>
      </c>
    </row>
    <row r="140" spans="1:3" x14ac:dyDescent="0.25">
      <c r="A140" s="5">
        <v>42874</v>
      </c>
      <c r="B140" s="5">
        <f t="shared" si="4"/>
        <v>42886</v>
      </c>
      <c r="C140" t="str">
        <f t="shared" ca="1" si="5"/>
        <v>месяц закрыт</v>
      </c>
    </row>
    <row r="141" spans="1:3" x14ac:dyDescent="0.25">
      <c r="A141" s="5">
        <v>42875</v>
      </c>
      <c r="B141" s="5">
        <f t="shared" si="4"/>
        <v>42886</v>
      </c>
      <c r="C141" t="str">
        <f t="shared" ca="1" si="5"/>
        <v>месяц закрыт</v>
      </c>
    </row>
    <row r="142" spans="1:3" x14ac:dyDescent="0.25">
      <c r="A142" s="5">
        <v>42876</v>
      </c>
      <c r="B142" s="5">
        <f t="shared" si="4"/>
        <v>42886</v>
      </c>
      <c r="C142" t="str">
        <f t="shared" ca="1" si="5"/>
        <v>месяц закрыт</v>
      </c>
    </row>
    <row r="143" spans="1:3" x14ac:dyDescent="0.25">
      <c r="A143" s="5">
        <v>42877</v>
      </c>
      <c r="B143" s="5">
        <f t="shared" si="4"/>
        <v>42886</v>
      </c>
      <c r="C143" t="str">
        <f t="shared" ca="1" si="5"/>
        <v>месяц закрыт</v>
      </c>
    </row>
    <row r="144" spans="1:3" x14ac:dyDescent="0.25">
      <c r="A144" s="5">
        <v>42878</v>
      </c>
      <c r="B144" s="5">
        <f t="shared" si="4"/>
        <v>42886</v>
      </c>
      <c r="C144" t="str">
        <f t="shared" ca="1" si="5"/>
        <v>месяц закрыт</v>
      </c>
    </row>
    <row r="145" spans="1:3" x14ac:dyDescent="0.25">
      <c r="A145" s="5">
        <v>42879</v>
      </c>
      <c r="B145" s="5">
        <f t="shared" si="4"/>
        <v>42886</v>
      </c>
      <c r="C145" t="str">
        <f t="shared" ca="1" si="5"/>
        <v>месяц закрыт</v>
      </c>
    </row>
    <row r="146" spans="1:3" x14ac:dyDescent="0.25">
      <c r="A146" s="5">
        <v>42880</v>
      </c>
      <c r="B146" s="5">
        <f t="shared" si="4"/>
        <v>42886</v>
      </c>
      <c r="C146" t="str">
        <f t="shared" ca="1" si="5"/>
        <v>месяц закрыт</v>
      </c>
    </row>
    <row r="147" spans="1:3" x14ac:dyDescent="0.25">
      <c r="A147" s="5">
        <v>42881</v>
      </c>
      <c r="B147" s="5">
        <f t="shared" si="4"/>
        <v>42886</v>
      </c>
      <c r="C147" t="str">
        <f t="shared" ca="1" si="5"/>
        <v>месяц закрыт</v>
      </c>
    </row>
    <row r="148" spans="1:3" x14ac:dyDescent="0.25">
      <c r="A148" s="5">
        <v>42882</v>
      </c>
      <c r="B148" s="5">
        <f t="shared" si="4"/>
        <v>42886</v>
      </c>
      <c r="C148" t="str">
        <f t="shared" ca="1" si="5"/>
        <v>месяц закрыт</v>
      </c>
    </row>
    <row r="149" spans="1:3" x14ac:dyDescent="0.25">
      <c r="A149" s="5">
        <v>42883</v>
      </c>
      <c r="B149" s="5">
        <f t="shared" si="4"/>
        <v>42886</v>
      </c>
      <c r="C149" t="str">
        <f t="shared" ca="1" si="5"/>
        <v>месяц закрыт</v>
      </c>
    </row>
    <row r="150" spans="1:3" x14ac:dyDescent="0.25">
      <c r="A150" s="5">
        <v>42884</v>
      </c>
      <c r="B150" s="5">
        <f t="shared" si="4"/>
        <v>42886</v>
      </c>
      <c r="C150" t="str">
        <f t="shared" ca="1" si="5"/>
        <v>месяц закрыт</v>
      </c>
    </row>
    <row r="151" spans="1:3" x14ac:dyDescent="0.25">
      <c r="A151" s="5">
        <v>42885</v>
      </c>
      <c r="B151" s="5">
        <f t="shared" si="4"/>
        <v>42886</v>
      </c>
      <c r="C151" t="str">
        <f t="shared" ca="1" si="5"/>
        <v>месяц закрыт</v>
      </c>
    </row>
    <row r="152" spans="1:3" x14ac:dyDescent="0.25">
      <c r="A152" s="5">
        <v>42886</v>
      </c>
      <c r="B152" s="5">
        <f t="shared" si="4"/>
        <v>42886</v>
      </c>
      <c r="C152" t="str">
        <f t="shared" ca="1" si="5"/>
        <v>месяц закрыт</v>
      </c>
    </row>
    <row r="153" spans="1:3" x14ac:dyDescent="0.25">
      <c r="A153" s="5">
        <v>42887</v>
      </c>
      <c r="B153" s="5">
        <f t="shared" si="4"/>
        <v>42916</v>
      </c>
      <c r="C153" t="str">
        <f t="shared" ca="1" si="5"/>
        <v>месяц закрыт</v>
      </c>
    </row>
    <row r="154" spans="1:3" x14ac:dyDescent="0.25">
      <c r="A154" s="5">
        <v>42888</v>
      </c>
      <c r="B154" s="5">
        <f t="shared" si="4"/>
        <v>42916</v>
      </c>
      <c r="C154" t="str">
        <f t="shared" ca="1" si="5"/>
        <v>месяц закрыт</v>
      </c>
    </row>
    <row r="155" spans="1:3" x14ac:dyDescent="0.25">
      <c r="A155" s="5">
        <v>42889</v>
      </c>
      <c r="B155" s="5">
        <f t="shared" si="4"/>
        <v>42916</v>
      </c>
      <c r="C155" t="str">
        <f t="shared" ca="1" si="5"/>
        <v>месяц закрыт</v>
      </c>
    </row>
    <row r="156" spans="1:3" x14ac:dyDescent="0.25">
      <c r="A156" s="5">
        <v>42890</v>
      </c>
      <c r="B156" s="5">
        <f t="shared" si="4"/>
        <v>42916</v>
      </c>
      <c r="C156" t="str">
        <f t="shared" ca="1" si="5"/>
        <v>месяц закрыт</v>
      </c>
    </row>
    <row r="157" spans="1:3" x14ac:dyDescent="0.25">
      <c r="A157" s="5">
        <v>42891</v>
      </c>
      <c r="B157" s="5">
        <f t="shared" si="4"/>
        <v>42916</v>
      </c>
      <c r="C157" t="str">
        <f t="shared" ca="1" si="5"/>
        <v>месяц закрыт</v>
      </c>
    </row>
    <row r="158" spans="1:3" x14ac:dyDescent="0.25">
      <c r="A158" s="5">
        <v>42892</v>
      </c>
      <c r="B158" s="5">
        <f t="shared" si="4"/>
        <v>42916</v>
      </c>
      <c r="C158" t="str">
        <f t="shared" ca="1" si="5"/>
        <v>месяц закрыт</v>
      </c>
    </row>
    <row r="159" spans="1:3" x14ac:dyDescent="0.25">
      <c r="A159" s="5">
        <v>42893</v>
      </c>
      <c r="B159" s="5">
        <f t="shared" si="4"/>
        <v>42916</v>
      </c>
      <c r="C159" t="str">
        <f t="shared" ca="1" si="5"/>
        <v>месяц закрыт</v>
      </c>
    </row>
    <row r="160" spans="1:3" x14ac:dyDescent="0.25">
      <c r="A160" s="5">
        <v>42894</v>
      </c>
      <c r="B160" s="5">
        <f t="shared" si="4"/>
        <v>42916</v>
      </c>
      <c r="C160" t="str">
        <f t="shared" ca="1" si="5"/>
        <v>месяц закрыт</v>
      </c>
    </row>
    <row r="161" spans="1:3" x14ac:dyDescent="0.25">
      <c r="A161" s="5">
        <v>42895</v>
      </c>
      <c r="B161" s="5">
        <f t="shared" si="4"/>
        <v>42916</v>
      </c>
      <c r="C161" t="str">
        <f t="shared" ca="1" si="5"/>
        <v>месяц закрыт</v>
      </c>
    </row>
    <row r="162" spans="1:3" x14ac:dyDescent="0.25">
      <c r="A162" s="5">
        <v>42896</v>
      </c>
      <c r="B162" s="5">
        <f t="shared" si="4"/>
        <v>42916</v>
      </c>
      <c r="C162" t="str">
        <f t="shared" ca="1" si="5"/>
        <v>месяц закрыт</v>
      </c>
    </row>
    <row r="163" spans="1:3" x14ac:dyDescent="0.25">
      <c r="A163" s="5">
        <v>42897</v>
      </c>
      <c r="B163" s="5">
        <f t="shared" si="4"/>
        <v>42916</v>
      </c>
      <c r="C163" t="str">
        <f t="shared" ca="1" si="5"/>
        <v>месяц закрыт</v>
      </c>
    </row>
    <row r="164" spans="1:3" x14ac:dyDescent="0.25">
      <c r="A164" s="5">
        <v>42898</v>
      </c>
      <c r="B164" s="5">
        <f t="shared" si="4"/>
        <v>42916</v>
      </c>
      <c r="C164" t="str">
        <f t="shared" ca="1" si="5"/>
        <v>месяц закрыт</v>
      </c>
    </row>
    <row r="165" spans="1:3" x14ac:dyDescent="0.25">
      <c r="A165" s="5">
        <v>42899</v>
      </c>
      <c r="B165" s="5">
        <f t="shared" si="4"/>
        <v>42916</v>
      </c>
      <c r="C165" t="str">
        <f t="shared" ca="1" si="5"/>
        <v>месяц закрыт</v>
      </c>
    </row>
    <row r="166" spans="1:3" x14ac:dyDescent="0.25">
      <c r="A166" s="5">
        <v>42900</v>
      </c>
      <c r="B166" s="5">
        <f t="shared" si="4"/>
        <v>42916</v>
      </c>
      <c r="C166" t="str">
        <f t="shared" ca="1" si="5"/>
        <v>месяц закрыт</v>
      </c>
    </row>
    <row r="167" spans="1:3" x14ac:dyDescent="0.25">
      <c r="A167" s="5">
        <v>42901</v>
      </c>
      <c r="B167" s="5">
        <f t="shared" si="4"/>
        <v>42916</v>
      </c>
      <c r="C167" t="str">
        <f t="shared" ca="1" si="5"/>
        <v>месяц закрыт</v>
      </c>
    </row>
    <row r="168" spans="1:3" x14ac:dyDescent="0.25">
      <c r="A168" s="5">
        <v>42902</v>
      </c>
      <c r="B168" s="5">
        <f t="shared" si="4"/>
        <v>42916</v>
      </c>
      <c r="C168" t="str">
        <f t="shared" ca="1" si="5"/>
        <v>месяц закрыт</v>
      </c>
    </row>
    <row r="169" spans="1:3" x14ac:dyDescent="0.25">
      <c r="A169" s="5">
        <v>42903</v>
      </c>
      <c r="B169" s="5">
        <f t="shared" si="4"/>
        <v>42916</v>
      </c>
      <c r="C169" t="str">
        <f t="shared" ca="1" si="5"/>
        <v>месяц закрыт</v>
      </c>
    </row>
    <row r="170" spans="1:3" x14ac:dyDescent="0.25">
      <c r="A170" s="5">
        <v>42904</v>
      </c>
      <c r="B170" s="5">
        <f t="shared" si="4"/>
        <v>42916</v>
      </c>
      <c r="C170" t="str">
        <f t="shared" ca="1" si="5"/>
        <v>месяц закрыт</v>
      </c>
    </row>
    <row r="171" spans="1:3" x14ac:dyDescent="0.25">
      <c r="A171" s="5">
        <v>42905</v>
      </c>
      <c r="B171" s="5">
        <f t="shared" si="4"/>
        <v>42916</v>
      </c>
      <c r="C171" t="str">
        <f t="shared" ca="1" si="5"/>
        <v>месяц закрыт</v>
      </c>
    </row>
    <row r="172" spans="1:3" x14ac:dyDescent="0.25">
      <c r="A172" s="5">
        <v>42906</v>
      </c>
      <c r="B172" s="5">
        <f t="shared" si="4"/>
        <v>42916</v>
      </c>
      <c r="C172" t="str">
        <f t="shared" ca="1" si="5"/>
        <v>месяц закрыт</v>
      </c>
    </row>
    <row r="173" spans="1:3" x14ac:dyDescent="0.25">
      <c r="A173" s="5">
        <v>42907</v>
      </c>
      <c r="B173" s="5">
        <f t="shared" si="4"/>
        <v>42916</v>
      </c>
      <c r="C173" t="str">
        <f t="shared" ca="1" si="5"/>
        <v>месяц закрыт</v>
      </c>
    </row>
    <row r="174" spans="1:3" x14ac:dyDescent="0.25">
      <c r="A174" s="5">
        <v>42908</v>
      </c>
      <c r="B174" s="5">
        <f t="shared" si="4"/>
        <v>42916</v>
      </c>
      <c r="C174" t="str">
        <f t="shared" ca="1" si="5"/>
        <v>месяц закрыт</v>
      </c>
    </row>
    <row r="175" spans="1:3" x14ac:dyDescent="0.25">
      <c r="A175" s="5">
        <v>42909</v>
      </c>
      <c r="B175" s="5">
        <f t="shared" si="4"/>
        <v>42916</v>
      </c>
      <c r="C175" t="str">
        <f t="shared" ca="1" si="5"/>
        <v>месяц закрыт</v>
      </c>
    </row>
    <row r="176" spans="1:3" x14ac:dyDescent="0.25">
      <c r="A176" s="5">
        <v>42910</v>
      </c>
      <c r="B176" s="5">
        <f t="shared" si="4"/>
        <v>42916</v>
      </c>
      <c r="C176" t="str">
        <f t="shared" ca="1" si="5"/>
        <v>месяц закрыт</v>
      </c>
    </row>
    <row r="177" spans="1:3" x14ac:dyDescent="0.25">
      <c r="A177" s="5">
        <v>42911</v>
      </c>
      <c r="B177" s="5">
        <f t="shared" si="4"/>
        <v>42916</v>
      </c>
      <c r="C177" t="str">
        <f t="shared" ca="1" si="5"/>
        <v>месяц закрыт</v>
      </c>
    </row>
    <row r="178" spans="1:3" x14ac:dyDescent="0.25">
      <c r="A178" s="5">
        <v>42912</v>
      </c>
      <c r="B178" s="5">
        <f t="shared" si="4"/>
        <v>42916</v>
      </c>
      <c r="C178" t="str">
        <f t="shared" ca="1" si="5"/>
        <v>месяц закрыт</v>
      </c>
    </row>
    <row r="179" spans="1:3" x14ac:dyDescent="0.25">
      <c r="A179" s="5">
        <v>42913</v>
      </c>
      <c r="B179" s="5">
        <f t="shared" si="4"/>
        <v>42916</v>
      </c>
      <c r="C179" t="str">
        <f t="shared" ca="1" si="5"/>
        <v>месяц закрыт</v>
      </c>
    </row>
    <row r="180" spans="1:3" x14ac:dyDescent="0.25">
      <c r="A180" s="5">
        <v>42914</v>
      </c>
      <c r="B180" s="5">
        <f t="shared" si="4"/>
        <v>42916</v>
      </c>
      <c r="C180" t="str">
        <f t="shared" ca="1" si="5"/>
        <v>месяц закрыт</v>
      </c>
    </row>
    <row r="181" spans="1:3" x14ac:dyDescent="0.25">
      <c r="A181" s="5">
        <v>42915</v>
      </c>
      <c r="B181" s="5">
        <f t="shared" si="4"/>
        <v>42916</v>
      </c>
      <c r="C181" t="str">
        <f t="shared" ca="1" si="5"/>
        <v>месяц закрыт</v>
      </c>
    </row>
    <row r="182" spans="1:3" x14ac:dyDescent="0.25">
      <c r="A182" s="5">
        <v>42916</v>
      </c>
      <c r="B182" s="5">
        <f t="shared" si="4"/>
        <v>42916</v>
      </c>
      <c r="C182" t="str">
        <f t="shared" ca="1" si="5"/>
        <v>месяц закрыт</v>
      </c>
    </row>
    <row r="183" spans="1:3" x14ac:dyDescent="0.25">
      <c r="A183" s="5">
        <v>42917</v>
      </c>
      <c r="B183" s="5">
        <f t="shared" si="4"/>
        <v>42947</v>
      </c>
      <c r="C183" t="str">
        <f t="shared" ca="1" si="5"/>
        <v>месяц закрыт</v>
      </c>
    </row>
    <row r="184" spans="1:3" x14ac:dyDescent="0.25">
      <c r="A184" s="5">
        <v>42918</v>
      </c>
      <c r="B184" s="5">
        <f t="shared" si="4"/>
        <v>42947</v>
      </c>
      <c r="C184" t="str">
        <f t="shared" ca="1" si="5"/>
        <v>месяц закрыт</v>
      </c>
    </row>
    <row r="185" spans="1:3" x14ac:dyDescent="0.25">
      <c r="A185" s="5">
        <v>42919</v>
      </c>
      <c r="B185" s="5">
        <f t="shared" si="4"/>
        <v>42947</v>
      </c>
      <c r="C185" t="str">
        <f t="shared" ca="1" si="5"/>
        <v>месяц закрыт</v>
      </c>
    </row>
    <row r="186" spans="1:3" x14ac:dyDescent="0.25">
      <c r="A186" s="5">
        <v>42920</v>
      </c>
      <c r="B186" s="5">
        <f t="shared" si="4"/>
        <v>42947</v>
      </c>
      <c r="C186" t="str">
        <f t="shared" ca="1" si="5"/>
        <v>месяц закрыт</v>
      </c>
    </row>
    <row r="187" spans="1:3" x14ac:dyDescent="0.25">
      <c r="A187" s="5">
        <v>42921</v>
      </c>
      <c r="B187" s="5">
        <f t="shared" si="4"/>
        <v>42947</v>
      </c>
      <c r="C187" t="str">
        <f t="shared" ca="1" si="5"/>
        <v>месяц закрыт</v>
      </c>
    </row>
    <row r="188" spans="1:3" x14ac:dyDescent="0.25">
      <c r="A188" s="5">
        <v>42922</v>
      </c>
      <c r="B188" s="5">
        <f t="shared" si="4"/>
        <v>42947</v>
      </c>
      <c r="C188" t="str">
        <f t="shared" ca="1" si="5"/>
        <v>месяц закрыт</v>
      </c>
    </row>
    <row r="189" spans="1:3" x14ac:dyDescent="0.25">
      <c r="A189" s="5">
        <v>42923</v>
      </c>
      <c r="B189" s="5">
        <f t="shared" si="4"/>
        <v>42947</v>
      </c>
      <c r="C189" t="str">
        <f t="shared" ca="1" si="5"/>
        <v>месяц закрыт</v>
      </c>
    </row>
    <row r="190" spans="1:3" x14ac:dyDescent="0.25">
      <c r="A190" s="5">
        <v>42924</v>
      </c>
      <c r="B190" s="5">
        <f t="shared" si="4"/>
        <v>42947</v>
      </c>
      <c r="C190" t="str">
        <f t="shared" ca="1" si="5"/>
        <v>месяц закрыт</v>
      </c>
    </row>
    <row r="191" spans="1:3" x14ac:dyDescent="0.25">
      <c r="A191" s="5">
        <v>42925</v>
      </c>
      <c r="B191" s="5">
        <f t="shared" si="4"/>
        <v>42947</v>
      </c>
      <c r="C191" t="str">
        <f t="shared" ca="1" si="5"/>
        <v>месяц закрыт</v>
      </c>
    </row>
    <row r="192" spans="1:3" x14ac:dyDescent="0.25">
      <c r="A192" s="5">
        <v>42926</v>
      </c>
      <c r="B192" s="5">
        <f t="shared" si="4"/>
        <v>42947</v>
      </c>
      <c r="C192" t="str">
        <f t="shared" ca="1" si="5"/>
        <v>месяц закрыт</v>
      </c>
    </row>
    <row r="193" spans="1:3" x14ac:dyDescent="0.25">
      <c r="A193" s="5">
        <v>42927</v>
      </c>
      <c r="B193" s="5">
        <f t="shared" si="4"/>
        <v>42947</v>
      </c>
      <c r="C193" t="str">
        <f t="shared" ca="1" si="5"/>
        <v>месяц закрыт</v>
      </c>
    </row>
    <row r="194" spans="1:3" x14ac:dyDescent="0.25">
      <c r="A194" s="5">
        <v>42928</v>
      </c>
      <c r="B194" s="5">
        <f t="shared" si="4"/>
        <v>42947</v>
      </c>
      <c r="C194" t="str">
        <f t="shared" ca="1" si="5"/>
        <v>месяц закрыт</v>
      </c>
    </row>
    <row r="195" spans="1:3" x14ac:dyDescent="0.25">
      <c r="A195" s="5">
        <v>42929</v>
      </c>
      <c r="B195" s="5">
        <f t="shared" ref="B195:B258" si="6">EOMONTH(A195,0)</f>
        <v>42947</v>
      </c>
      <c r="C195" t="str">
        <f t="shared" ref="C195:C258" ca="1" si="7">IF((B195-$D$2)&lt;0,"месяц закрыт","месяц не закрыт")</f>
        <v>месяц закрыт</v>
      </c>
    </row>
    <row r="196" spans="1:3" x14ac:dyDescent="0.25">
      <c r="A196" s="5">
        <v>42930</v>
      </c>
      <c r="B196" s="5">
        <f t="shared" si="6"/>
        <v>42947</v>
      </c>
      <c r="C196" t="str">
        <f t="shared" ca="1" si="7"/>
        <v>месяц закрыт</v>
      </c>
    </row>
    <row r="197" spans="1:3" x14ac:dyDescent="0.25">
      <c r="A197" s="5">
        <v>42931</v>
      </c>
      <c r="B197" s="5">
        <f t="shared" si="6"/>
        <v>42947</v>
      </c>
      <c r="C197" t="str">
        <f t="shared" ca="1" si="7"/>
        <v>месяц закрыт</v>
      </c>
    </row>
    <row r="198" spans="1:3" x14ac:dyDescent="0.25">
      <c r="A198" s="5">
        <v>42932</v>
      </c>
      <c r="B198" s="5">
        <f t="shared" si="6"/>
        <v>42947</v>
      </c>
      <c r="C198" t="str">
        <f t="shared" ca="1" si="7"/>
        <v>месяц закрыт</v>
      </c>
    </row>
    <row r="199" spans="1:3" x14ac:dyDescent="0.25">
      <c r="A199" s="5">
        <v>42933</v>
      </c>
      <c r="B199" s="5">
        <f t="shared" si="6"/>
        <v>42947</v>
      </c>
      <c r="C199" t="str">
        <f t="shared" ca="1" si="7"/>
        <v>месяц закрыт</v>
      </c>
    </row>
    <row r="200" spans="1:3" x14ac:dyDescent="0.25">
      <c r="A200" s="5">
        <v>42934</v>
      </c>
      <c r="B200" s="5">
        <f t="shared" si="6"/>
        <v>42947</v>
      </c>
      <c r="C200" t="str">
        <f t="shared" ca="1" si="7"/>
        <v>месяц закрыт</v>
      </c>
    </row>
    <row r="201" spans="1:3" x14ac:dyDescent="0.25">
      <c r="A201" s="5">
        <v>42935</v>
      </c>
      <c r="B201" s="5">
        <f t="shared" si="6"/>
        <v>42947</v>
      </c>
      <c r="C201" t="str">
        <f t="shared" ca="1" si="7"/>
        <v>месяц закрыт</v>
      </c>
    </row>
    <row r="202" spans="1:3" x14ac:dyDescent="0.25">
      <c r="A202" s="5">
        <v>42936</v>
      </c>
      <c r="B202" s="5">
        <f t="shared" si="6"/>
        <v>42947</v>
      </c>
      <c r="C202" t="str">
        <f t="shared" ca="1" si="7"/>
        <v>месяц закрыт</v>
      </c>
    </row>
    <row r="203" spans="1:3" x14ac:dyDescent="0.25">
      <c r="A203" s="5">
        <v>42937</v>
      </c>
      <c r="B203" s="5">
        <f t="shared" si="6"/>
        <v>42947</v>
      </c>
      <c r="C203" t="str">
        <f t="shared" ca="1" si="7"/>
        <v>месяц закрыт</v>
      </c>
    </row>
    <row r="204" spans="1:3" x14ac:dyDescent="0.25">
      <c r="A204" s="5">
        <v>42938</v>
      </c>
      <c r="B204" s="5">
        <f t="shared" si="6"/>
        <v>42947</v>
      </c>
      <c r="C204" t="str">
        <f t="shared" ca="1" si="7"/>
        <v>месяц закрыт</v>
      </c>
    </row>
    <row r="205" spans="1:3" x14ac:dyDescent="0.25">
      <c r="A205" s="5">
        <v>42939</v>
      </c>
      <c r="B205" s="5">
        <f t="shared" si="6"/>
        <v>42947</v>
      </c>
      <c r="C205" t="str">
        <f t="shared" ca="1" si="7"/>
        <v>месяц закрыт</v>
      </c>
    </row>
    <row r="206" spans="1:3" x14ac:dyDescent="0.25">
      <c r="A206" s="5">
        <v>42940</v>
      </c>
      <c r="B206" s="5">
        <f t="shared" si="6"/>
        <v>42947</v>
      </c>
      <c r="C206" t="str">
        <f t="shared" ca="1" si="7"/>
        <v>месяц закрыт</v>
      </c>
    </row>
    <row r="207" spans="1:3" x14ac:dyDescent="0.25">
      <c r="A207" s="5">
        <v>42941</v>
      </c>
      <c r="B207" s="5">
        <f t="shared" si="6"/>
        <v>42947</v>
      </c>
      <c r="C207" t="str">
        <f t="shared" ca="1" si="7"/>
        <v>месяц закрыт</v>
      </c>
    </row>
    <row r="208" spans="1:3" x14ac:dyDescent="0.25">
      <c r="A208" s="5">
        <v>42942</v>
      </c>
      <c r="B208" s="5">
        <f t="shared" si="6"/>
        <v>42947</v>
      </c>
      <c r="C208" t="str">
        <f t="shared" ca="1" si="7"/>
        <v>месяц закрыт</v>
      </c>
    </row>
    <row r="209" spans="1:3" x14ac:dyDescent="0.25">
      <c r="A209" s="5">
        <v>42943</v>
      </c>
      <c r="B209" s="5">
        <f t="shared" si="6"/>
        <v>42947</v>
      </c>
      <c r="C209" t="str">
        <f t="shared" ca="1" si="7"/>
        <v>месяц закрыт</v>
      </c>
    </row>
    <row r="210" spans="1:3" x14ac:dyDescent="0.25">
      <c r="A210" s="5">
        <v>42944</v>
      </c>
      <c r="B210" s="5">
        <f t="shared" si="6"/>
        <v>42947</v>
      </c>
      <c r="C210" t="str">
        <f t="shared" ca="1" si="7"/>
        <v>месяц закрыт</v>
      </c>
    </row>
    <row r="211" spans="1:3" x14ac:dyDescent="0.25">
      <c r="A211" s="5">
        <v>42945</v>
      </c>
      <c r="B211" s="5">
        <f t="shared" si="6"/>
        <v>42947</v>
      </c>
      <c r="C211" t="str">
        <f t="shared" ca="1" si="7"/>
        <v>месяц закрыт</v>
      </c>
    </row>
    <row r="212" spans="1:3" x14ac:dyDescent="0.25">
      <c r="A212" s="5">
        <v>42946</v>
      </c>
      <c r="B212" s="5">
        <f t="shared" si="6"/>
        <v>42947</v>
      </c>
      <c r="C212" t="str">
        <f t="shared" ca="1" si="7"/>
        <v>месяц закрыт</v>
      </c>
    </row>
    <row r="213" spans="1:3" x14ac:dyDescent="0.25">
      <c r="A213" s="5">
        <v>42947</v>
      </c>
      <c r="B213" s="5">
        <f t="shared" si="6"/>
        <v>42947</v>
      </c>
      <c r="C213" t="str">
        <f t="shared" ca="1" si="7"/>
        <v>месяц закрыт</v>
      </c>
    </row>
    <row r="214" spans="1:3" x14ac:dyDescent="0.25">
      <c r="A214" s="5">
        <v>42948</v>
      </c>
      <c r="B214" s="5">
        <f t="shared" si="6"/>
        <v>42978</v>
      </c>
      <c r="C214" t="str">
        <f t="shared" ca="1" si="7"/>
        <v>месяц закрыт</v>
      </c>
    </row>
    <row r="215" spans="1:3" x14ac:dyDescent="0.25">
      <c r="A215" s="5">
        <v>42949</v>
      </c>
      <c r="B215" s="5">
        <f t="shared" si="6"/>
        <v>42978</v>
      </c>
      <c r="C215" t="str">
        <f t="shared" ca="1" si="7"/>
        <v>месяц закрыт</v>
      </c>
    </row>
    <row r="216" spans="1:3" x14ac:dyDescent="0.25">
      <c r="A216" s="5">
        <v>42950</v>
      </c>
      <c r="B216" s="5">
        <f t="shared" si="6"/>
        <v>42978</v>
      </c>
      <c r="C216" t="str">
        <f t="shared" ca="1" si="7"/>
        <v>месяц закрыт</v>
      </c>
    </row>
    <row r="217" spans="1:3" x14ac:dyDescent="0.25">
      <c r="A217" s="5">
        <v>42951</v>
      </c>
      <c r="B217" s="5">
        <f t="shared" si="6"/>
        <v>42978</v>
      </c>
      <c r="C217" t="str">
        <f t="shared" ca="1" si="7"/>
        <v>месяц закрыт</v>
      </c>
    </row>
    <row r="218" spans="1:3" x14ac:dyDescent="0.25">
      <c r="A218" s="5">
        <v>42952</v>
      </c>
      <c r="B218" s="5">
        <f t="shared" si="6"/>
        <v>42978</v>
      </c>
      <c r="C218" t="str">
        <f t="shared" ca="1" si="7"/>
        <v>месяц закрыт</v>
      </c>
    </row>
    <row r="219" spans="1:3" x14ac:dyDescent="0.25">
      <c r="A219" s="5">
        <v>42953</v>
      </c>
      <c r="B219" s="5">
        <f t="shared" si="6"/>
        <v>42978</v>
      </c>
      <c r="C219" t="str">
        <f t="shared" ca="1" si="7"/>
        <v>месяц закрыт</v>
      </c>
    </row>
    <row r="220" spans="1:3" x14ac:dyDescent="0.25">
      <c r="A220" s="5">
        <v>42954</v>
      </c>
      <c r="B220" s="5">
        <f t="shared" si="6"/>
        <v>42978</v>
      </c>
      <c r="C220" t="str">
        <f t="shared" ca="1" si="7"/>
        <v>месяц закрыт</v>
      </c>
    </row>
    <row r="221" spans="1:3" x14ac:dyDescent="0.25">
      <c r="A221" s="5">
        <v>42955</v>
      </c>
      <c r="B221" s="5">
        <f t="shared" si="6"/>
        <v>42978</v>
      </c>
      <c r="C221" t="str">
        <f t="shared" ca="1" si="7"/>
        <v>месяц закрыт</v>
      </c>
    </row>
    <row r="222" spans="1:3" x14ac:dyDescent="0.25">
      <c r="A222" s="5">
        <v>42956</v>
      </c>
      <c r="B222" s="5">
        <f t="shared" si="6"/>
        <v>42978</v>
      </c>
      <c r="C222" t="str">
        <f t="shared" ca="1" si="7"/>
        <v>месяц закрыт</v>
      </c>
    </row>
    <row r="223" spans="1:3" x14ac:dyDescent="0.25">
      <c r="A223" s="5">
        <v>42957</v>
      </c>
      <c r="B223" s="5">
        <f t="shared" si="6"/>
        <v>42978</v>
      </c>
      <c r="C223" t="str">
        <f t="shared" ca="1" si="7"/>
        <v>месяц закрыт</v>
      </c>
    </row>
    <row r="224" spans="1:3" x14ac:dyDescent="0.25">
      <c r="A224" s="5">
        <v>42958</v>
      </c>
      <c r="B224" s="5">
        <f t="shared" si="6"/>
        <v>42978</v>
      </c>
      <c r="C224" t="str">
        <f t="shared" ca="1" si="7"/>
        <v>месяц закрыт</v>
      </c>
    </row>
    <row r="225" spans="1:3" x14ac:dyDescent="0.25">
      <c r="A225" s="5">
        <v>42959</v>
      </c>
      <c r="B225" s="5">
        <f t="shared" si="6"/>
        <v>42978</v>
      </c>
      <c r="C225" t="str">
        <f t="shared" ca="1" si="7"/>
        <v>месяц закрыт</v>
      </c>
    </row>
    <row r="226" spans="1:3" x14ac:dyDescent="0.25">
      <c r="A226" s="5">
        <v>42960</v>
      </c>
      <c r="B226" s="5">
        <f t="shared" si="6"/>
        <v>42978</v>
      </c>
      <c r="C226" t="str">
        <f t="shared" ca="1" si="7"/>
        <v>месяц закрыт</v>
      </c>
    </row>
    <row r="227" spans="1:3" x14ac:dyDescent="0.25">
      <c r="A227" s="5">
        <v>42961</v>
      </c>
      <c r="B227" s="5">
        <f t="shared" si="6"/>
        <v>42978</v>
      </c>
      <c r="C227" t="str">
        <f t="shared" ca="1" si="7"/>
        <v>месяц закрыт</v>
      </c>
    </row>
    <row r="228" spans="1:3" x14ac:dyDescent="0.25">
      <c r="A228" s="5">
        <v>42962</v>
      </c>
      <c r="B228" s="5">
        <f t="shared" si="6"/>
        <v>42978</v>
      </c>
      <c r="C228" t="str">
        <f t="shared" ca="1" si="7"/>
        <v>месяц закрыт</v>
      </c>
    </row>
    <row r="229" spans="1:3" x14ac:dyDescent="0.25">
      <c r="A229" s="5">
        <v>42963</v>
      </c>
      <c r="B229" s="5">
        <f t="shared" si="6"/>
        <v>42978</v>
      </c>
      <c r="C229" t="str">
        <f t="shared" ca="1" si="7"/>
        <v>месяц закрыт</v>
      </c>
    </row>
    <row r="230" spans="1:3" x14ac:dyDescent="0.25">
      <c r="A230" s="5">
        <v>42964</v>
      </c>
      <c r="B230" s="5">
        <f t="shared" si="6"/>
        <v>42978</v>
      </c>
      <c r="C230" t="str">
        <f t="shared" ca="1" si="7"/>
        <v>месяц закрыт</v>
      </c>
    </row>
    <row r="231" spans="1:3" x14ac:dyDescent="0.25">
      <c r="A231" s="5">
        <v>42965</v>
      </c>
      <c r="B231" s="5">
        <f t="shared" si="6"/>
        <v>42978</v>
      </c>
      <c r="C231" t="str">
        <f t="shared" ca="1" si="7"/>
        <v>месяц закрыт</v>
      </c>
    </row>
    <row r="232" spans="1:3" x14ac:dyDescent="0.25">
      <c r="A232" s="5">
        <v>42966</v>
      </c>
      <c r="B232" s="5">
        <f t="shared" si="6"/>
        <v>42978</v>
      </c>
      <c r="C232" t="str">
        <f t="shared" ca="1" si="7"/>
        <v>месяц закрыт</v>
      </c>
    </row>
    <row r="233" spans="1:3" x14ac:dyDescent="0.25">
      <c r="A233" s="5">
        <v>42967</v>
      </c>
      <c r="B233" s="5">
        <f t="shared" si="6"/>
        <v>42978</v>
      </c>
      <c r="C233" t="str">
        <f t="shared" ca="1" si="7"/>
        <v>месяц закрыт</v>
      </c>
    </row>
    <row r="234" spans="1:3" x14ac:dyDescent="0.25">
      <c r="A234" s="5">
        <v>42968</v>
      </c>
      <c r="B234" s="5">
        <f t="shared" si="6"/>
        <v>42978</v>
      </c>
      <c r="C234" t="str">
        <f t="shared" ca="1" si="7"/>
        <v>месяц закрыт</v>
      </c>
    </row>
    <row r="235" spans="1:3" x14ac:dyDescent="0.25">
      <c r="A235" s="5">
        <v>42969</v>
      </c>
      <c r="B235" s="5">
        <f t="shared" si="6"/>
        <v>42978</v>
      </c>
      <c r="C235" t="str">
        <f t="shared" ca="1" si="7"/>
        <v>месяц закрыт</v>
      </c>
    </row>
    <row r="236" spans="1:3" x14ac:dyDescent="0.25">
      <c r="A236" s="5">
        <v>42970</v>
      </c>
      <c r="B236" s="5">
        <f t="shared" si="6"/>
        <v>42978</v>
      </c>
      <c r="C236" t="str">
        <f t="shared" ca="1" si="7"/>
        <v>месяц закрыт</v>
      </c>
    </row>
    <row r="237" spans="1:3" x14ac:dyDescent="0.25">
      <c r="A237" s="5">
        <v>42971</v>
      </c>
      <c r="B237" s="5">
        <f t="shared" si="6"/>
        <v>42978</v>
      </c>
      <c r="C237" t="str">
        <f t="shared" ca="1" si="7"/>
        <v>месяц закрыт</v>
      </c>
    </row>
    <row r="238" spans="1:3" x14ac:dyDescent="0.25">
      <c r="A238" s="5">
        <v>42972</v>
      </c>
      <c r="B238" s="5">
        <f t="shared" si="6"/>
        <v>42978</v>
      </c>
      <c r="C238" t="str">
        <f t="shared" ca="1" si="7"/>
        <v>месяц закрыт</v>
      </c>
    </row>
    <row r="239" spans="1:3" x14ac:dyDescent="0.25">
      <c r="A239" s="5">
        <v>42973</v>
      </c>
      <c r="B239" s="5">
        <f t="shared" si="6"/>
        <v>42978</v>
      </c>
      <c r="C239" t="str">
        <f t="shared" ca="1" si="7"/>
        <v>месяц закрыт</v>
      </c>
    </row>
    <row r="240" spans="1:3" x14ac:dyDescent="0.25">
      <c r="A240" s="5">
        <v>42974</v>
      </c>
      <c r="B240" s="5">
        <f t="shared" si="6"/>
        <v>42978</v>
      </c>
      <c r="C240" t="str">
        <f t="shared" ca="1" si="7"/>
        <v>месяц закрыт</v>
      </c>
    </row>
    <row r="241" spans="1:3" x14ac:dyDescent="0.25">
      <c r="A241" s="5">
        <v>42975</v>
      </c>
      <c r="B241" s="5">
        <f t="shared" si="6"/>
        <v>42978</v>
      </c>
      <c r="C241" t="str">
        <f t="shared" ca="1" si="7"/>
        <v>месяц закрыт</v>
      </c>
    </row>
    <row r="242" spans="1:3" x14ac:dyDescent="0.25">
      <c r="A242" s="5">
        <v>42976</v>
      </c>
      <c r="B242" s="5">
        <f t="shared" si="6"/>
        <v>42978</v>
      </c>
      <c r="C242" t="str">
        <f t="shared" ca="1" si="7"/>
        <v>месяц закрыт</v>
      </c>
    </row>
    <row r="243" spans="1:3" x14ac:dyDescent="0.25">
      <c r="A243" s="5">
        <v>42977</v>
      </c>
      <c r="B243" s="5">
        <f t="shared" si="6"/>
        <v>42978</v>
      </c>
      <c r="C243" t="str">
        <f t="shared" ca="1" si="7"/>
        <v>месяц закрыт</v>
      </c>
    </row>
    <row r="244" spans="1:3" x14ac:dyDescent="0.25">
      <c r="A244" s="5">
        <v>42978</v>
      </c>
      <c r="B244" s="5">
        <f t="shared" si="6"/>
        <v>42978</v>
      </c>
      <c r="C244" t="str">
        <f t="shared" ca="1" si="7"/>
        <v>месяц закрыт</v>
      </c>
    </row>
    <row r="245" spans="1:3" x14ac:dyDescent="0.25">
      <c r="A245" s="5">
        <v>42979</v>
      </c>
      <c r="B245" s="5">
        <f t="shared" si="6"/>
        <v>43008</v>
      </c>
      <c r="C245" t="str">
        <f t="shared" ca="1" si="7"/>
        <v>месяц закрыт</v>
      </c>
    </row>
    <row r="246" spans="1:3" x14ac:dyDescent="0.25">
      <c r="A246" s="5">
        <v>42980</v>
      </c>
      <c r="B246" s="5">
        <f t="shared" si="6"/>
        <v>43008</v>
      </c>
      <c r="C246" t="str">
        <f t="shared" ca="1" si="7"/>
        <v>месяц закрыт</v>
      </c>
    </row>
    <row r="247" spans="1:3" x14ac:dyDescent="0.25">
      <c r="A247" s="5">
        <v>42981</v>
      </c>
      <c r="B247" s="5">
        <f t="shared" si="6"/>
        <v>43008</v>
      </c>
      <c r="C247" t="str">
        <f t="shared" ca="1" si="7"/>
        <v>месяц закрыт</v>
      </c>
    </row>
    <row r="248" spans="1:3" x14ac:dyDescent="0.25">
      <c r="A248" s="5">
        <v>42982</v>
      </c>
      <c r="B248" s="5">
        <f t="shared" si="6"/>
        <v>43008</v>
      </c>
      <c r="C248" t="str">
        <f t="shared" ca="1" si="7"/>
        <v>месяц закрыт</v>
      </c>
    </row>
    <row r="249" spans="1:3" x14ac:dyDescent="0.25">
      <c r="A249" s="5">
        <v>42983</v>
      </c>
      <c r="B249" s="5">
        <f t="shared" si="6"/>
        <v>43008</v>
      </c>
      <c r="C249" t="str">
        <f t="shared" ca="1" si="7"/>
        <v>месяц закрыт</v>
      </c>
    </row>
    <row r="250" spans="1:3" x14ac:dyDescent="0.25">
      <c r="A250" s="5">
        <v>42984</v>
      </c>
      <c r="B250" s="5">
        <f t="shared" si="6"/>
        <v>43008</v>
      </c>
      <c r="C250" t="str">
        <f t="shared" ca="1" si="7"/>
        <v>месяц закрыт</v>
      </c>
    </row>
    <row r="251" spans="1:3" x14ac:dyDescent="0.25">
      <c r="A251" s="5">
        <v>42985</v>
      </c>
      <c r="B251" s="5">
        <f t="shared" si="6"/>
        <v>43008</v>
      </c>
      <c r="C251" t="str">
        <f t="shared" ca="1" si="7"/>
        <v>месяц закрыт</v>
      </c>
    </row>
    <row r="252" spans="1:3" x14ac:dyDescent="0.25">
      <c r="A252" s="5">
        <v>42986</v>
      </c>
      <c r="B252" s="5">
        <f t="shared" si="6"/>
        <v>43008</v>
      </c>
      <c r="C252" t="str">
        <f t="shared" ca="1" si="7"/>
        <v>месяц закрыт</v>
      </c>
    </row>
    <row r="253" spans="1:3" x14ac:dyDescent="0.25">
      <c r="A253" s="5">
        <v>42987</v>
      </c>
      <c r="B253" s="5">
        <f t="shared" si="6"/>
        <v>43008</v>
      </c>
      <c r="C253" t="str">
        <f t="shared" ca="1" si="7"/>
        <v>месяц закрыт</v>
      </c>
    </row>
    <row r="254" spans="1:3" x14ac:dyDescent="0.25">
      <c r="A254" s="5">
        <v>42988</v>
      </c>
      <c r="B254" s="5">
        <f t="shared" si="6"/>
        <v>43008</v>
      </c>
      <c r="C254" t="str">
        <f t="shared" ca="1" si="7"/>
        <v>месяц закрыт</v>
      </c>
    </row>
    <row r="255" spans="1:3" x14ac:dyDescent="0.25">
      <c r="A255" s="5">
        <v>42989</v>
      </c>
      <c r="B255" s="5">
        <f t="shared" si="6"/>
        <v>43008</v>
      </c>
      <c r="C255" t="str">
        <f t="shared" ca="1" si="7"/>
        <v>месяц закрыт</v>
      </c>
    </row>
    <row r="256" spans="1:3" x14ac:dyDescent="0.25">
      <c r="A256" s="5">
        <v>42990</v>
      </c>
      <c r="B256" s="5">
        <f t="shared" si="6"/>
        <v>43008</v>
      </c>
      <c r="C256" t="str">
        <f t="shared" ca="1" si="7"/>
        <v>месяц закрыт</v>
      </c>
    </row>
    <row r="257" spans="1:3" x14ac:dyDescent="0.25">
      <c r="A257" s="5">
        <v>42991</v>
      </c>
      <c r="B257" s="5">
        <f t="shared" si="6"/>
        <v>43008</v>
      </c>
      <c r="C257" t="str">
        <f t="shared" ca="1" si="7"/>
        <v>месяц закрыт</v>
      </c>
    </row>
    <row r="258" spans="1:3" x14ac:dyDescent="0.25">
      <c r="A258" s="5">
        <v>42992</v>
      </c>
      <c r="B258" s="5">
        <f t="shared" si="6"/>
        <v>43008</v>
      </c>
      <c r="C258" t="str">
        <f t="shared" ca="1" si="7"/>
        <v>месяц закрыт</v>
      </c>
    </row>
    <row r="259" spans="1:3" x14ac:dyDescent="0.25">
      <c r="A259" s="5">
        <v>42993</v>
      </c>
      <c r="B259" s="5">
        <f t="shared" ref="B259:B322" si="8">EOMONTH(A259,0)</f>
        <v>43008</v>
      </c>
      <c r="C259" t="str">
        <f t="shared" ref="C259:C322" ca="1" si="9">IF((B259-$D$2)&lt;0,"месяц закрыт","месяц не закрыт")</f>
        <v>месяц закрыт</v>
      </c>
    </row>
    <row r="260" spans="1:3" x14ac:dyDescent="0.25">
      <c r="A260" s="5">
        <v>42994</v>
      </c>
      <c r="B260" s="5">
        <f t="shared" si="8"/>
        <v>43008</v>
      </c>
      <c r="C260" t="str">
        <f t="shared" ca="1" si="9"/>
        <v>месяц закрыт</v>
      </c>
    </row>
    <row r="261" spans="1:3" x14ac:dyDescent="0.25">
      <c r="A261" s="5">
        <v>42995</v>
      </c>
      <c r="B261" s="5">
        <f t="shared" si="8"/>
        <v>43008</v>
      </c>
      <c r="C261" t="str">
        <f t="shared" ca="1" si="9"/>
        <v>месяц закрыт</v>
      </c>
    </row>
    <row r="262" spans="1:3" x14ac:dyDescent="0.25">
      <c r="A262" s="5">
        <v>42996</v>
      </c>
      <c r="B262" s="5">
        <f t="shared" si="8"/>
        <v>43008</v>
      </c>
      <c r="C262" t="str">
        <f t="shared" ca="1" si="9"/>
        <v>месяц закрыт</v>
      </c>
    </row>
    <row r="263" spans="1:3" x14ac:dyDescent="0.25">
      <c r="A263" s="5">
        <v>42997</v>
      </c>
      <c r="B263" s="5">
        <f t="shared" si="8"/>
        <v>43008</v>
      </c>
      <c r="C263" t="str">
        <f t="shared" ca="1" si="9"/>
        <v>месяц закрыт</v>
      </c>
    </row>
    <row r="264" spans="1:3" x14ac:dyDescent="0.25">
      <c r="A264" s="5">
        <v>42998</v>
      </c>
      <c r="B264" s="5">
        <f t="shared" si="8"/>
        <v>43008</v>
      </c>
      <c r="C264" t="str">
        <f t="shared" ca="1" si="9"/>
        <v>месяц закрыт</v>
      </c>
    </row>
    <row r="265" spans="1:3" x14ac:dyDescent="0.25">
      <c r="A265" s="5">
        <v>42999</v>
      </c>
      <c r="B265" s="5">
        <f t="shared" si="8"/>
        <v>43008</v>
      </c>
      <c r="C265" t="str">
        <f t="shared" ca="1" si="9"/>
        <v>месяц закрыт</v>
      </c>
    </row>
    <row r="266" spans="1:3" x14ac:dyDescent="0.25">
      <c r="A266" s="5">
        <v>43000</v>
      </c>
      <c r="B266" s="5">
        <f t="shared" si="8"/>
        <v>43008</v>
      </c>
      <c r="C266" t="str">
        <f t="shared" ca="1" si="9"/>
        <v>месяц закрыт</v>
      </c>
    </row>
    <row r="267" spans="1:3" x14ac:dyDescent="0.25">
      <c r="A267" s="5">
        <v>43001</v>
      </c>
      <c r="B267" s="5">
        <f t="shared" si="8"/>
        <v>43008</v>
      </c>
      <c r="C267" t="str">
        <f t="shared" ca="1" si="9"/>
        <v>месяц закрыт</v>
      </c>
    </row>
    <row r="268" spans="1:3" x14ac:dyDescent="0.25">
      <c r="A268" s="5">
        <v>43002</v>
      </c>
      <c r="B268" s="5">
        <f t="shared" si="8"/>
        <v>43008</v>
      </c>
      <c r="C268" t="str">
        <f t="shared" ca="1" si="9"/>
        <v>месяц закрыт</v>
      </c>
    </row>
    <row r="269" spans="1:3" x14ac:dyDescent="0.25">
      <c r="A269" s="5">
        <v>43003</v>
      </c>
      <c r="B269" s="5">
        <f t="shared" si="8"/>
        <v>43008</v>
      </c>
      <c r="C269" t="str">
        <f t="shared" ca="1" si="9"/>
        <v>месяц закрыт</v>
      </c>
    </row>
    <row r="270" spans="1:3" x14ac:dyDescent="0.25">
      <c r="A270" s="5">
        <v>43004</v>
      </c>
      <c r="B270" s="5">
        <f t="shared" si="8"/>
        <v>43008</v>
      </c>
      <c r="C270" t="str">
        <f t="shared" ca="1" si="9"/>
        <v>месяц закрыт</v>
      </c>
    </row>
    <row r="271" spans="1:3" x14ac:dyDescent="0.25">
      <c r="A271" s="5">
        <v>43005</v>
      </c>
      <c r="B271" s="5">
        <f t="shared" si="8"/>
        <v>43008</v>
      </c>
      <c r="C271" t="str">
        <f t="shared" ca="1" si="9"/>
        <v>месяц закрыт</v>
      </c>
    </row>
    <row r="272" spans="1:3" x14ac:dyDescent="0.25">
      <c r="A272" s="5">
        <v>43006</v>
      </c>
      <c r="B272" s="5">
        <f t="shared" si="8"/>
        <v>43008</v>
      </c>
      <c r="C272" t="str">
        <f t="shared" ca="1" si="9"/>
        <v>месяц закрыт</v>
      </c>
    </row>
    <row r="273" spans="1:3" x14ac:dyDescent="0.25">
      <c r="A273" s="5">
        <v>43007</v>
      </c>
      <c r="B273" s="5">
        <f t="shared" si="8"/>
        <v>43008</v>
      </c>
      <c r="C273" t="str">
        <f t="shared" ca="1" si="9"/>
        <v>месяц закрыт</v>
      </c>
    </row>
    <row r="274" spans="1:3" x14ac:dyDescent="0.25">
      <c r="A274" s="5">
        <v>43008</v>
      </c>
      <c r="B274" s="5">
        <f t="shared" si="8"/>
        <v>43008</v>
      </c>
      <c r="C274" t="str">
        <f t="shared" ca="1" si="9"/>
        <v>месяц закрыт</v>
      </c>
    </row>
    <row r="275" spans="1:3" x14ac:dyDescent="0.25">
      <c r="A275" s="5">
        <v>43009</v>
      </c>
      <c r="B275" s="5">
        <f t="shared" si="8"/>
        <v>43039</v>
      </c>
      <c r="C275" t="str">
        <f t="shared" ca="1" si="9"/>
        <v>месяц закрыт</v>
      </c>
    </row>
    <row r="276" spans="1:3" x14ac:dyDescent="0.25">
      <c r="A276" s="5">
        <v>43010</v>
      </c>
      <c r="B276" s="5">
        <f t="shared" si="8"/>
        <v>43039</v>
      </c>
      <c r="C276" t="str">
        <f t="shared" ca="1" si="9"/>
        <v>месяц закрыт</v>
      </c>
    </row>
    <row r="277" spans="1:3" x14ac:dyDescent="0.25">
      <c r="A277" s="5">
        <v>43011</v>
      </c>
      <c r="B277" s="5">
        <f t="shared" si="8"/>
        <v>43039</v>
      </c>
      <c r="C277" t="str">
        <f t="shared" ca="1" si="9"/>
        <v>месяц закрыт</v>
      </c>
    </row>
    <row r="278" spans="1:3" x14ac:dyDescent="0.25">
      <c r="A278" s="5">
        <v>43012</v>
      </c>
      <c r="B278" s="5">
        <f t="shared" si="8"/>
        <v>43039</v>
      </c>
      <c r="C278" t="str">
        <f t="shared" ca="1" si="9"/>
        <v>месяц закрыт</v>
      </c>
    </row>
    <row r="279" spans="1:3" x14ac:dyDescent="0.25">
      <c r="A279" s="5">
        <v>43013</v>
      </c>
      <c r="B279" s="5">
        <f t="shared" si="8"/>
        <v>43039</v>
      </c>
      <c r="C279" t="str">
        <f t="shared" ca="1" si="9"/>
        <v>месяц закрыт</v>
      </c>
    </row>
    <row r="280" spans="1:3" x14ac:dyDescent="0.25">
      <c r="A280" s="5">
        <v>43014</v>
      </c>
      <c r="B280" s="5">
        <f t="shared" si="8"/>
        <v>43039</v>
      </c>
      <c r="C280" t="str">
        <f t="shared" ca="1" si="9"/>
        <v>месяц закрыт</v>
      </c>
    </row>
    <row r="281" spans="1:3" x14ac:dyDescent="0.25">
      <c r="A281" s="5">
        <v>43015</v>
      </c>
      <c r="B281" s="5">
        <f t="shared" si="8"/>
        <v>43039</v>
      </c>
      <c r="C281" t="str">
        <f t="shared" ca="1" si="9"/>
        <v>месяц закрыт</v>
      </c>
    </row>
    <row r="282" spans="1:3" x14ac:dyDescent="0.25">
      <c r="A282" s="5">
        <v>43016</v>
      </c>
      <c r="B282" s="5">
        <f t="shared" si="8"/>
        <v>43039</v>
      </c>
      <c r="C282" t="str">
        <f t="shared" ca="1" si="9"/>
        <v>месяц закрыт</v>
      </c>
    </row>
    <row r="283" spans="1:3" x14ac:dyDescent="0.25">
      <c r="A283" s="5">
        <v>43017</v>
      </c>
      <c r="B283" s="5">
        <f t="shared" si="8"/>
        <v>43039</v>
      </c>
      <c r="C283" t="str">
        <f t="shared" ca="1" si="9"/>
        <v>месяц закрыт</v>
      </c>
    </row>
    <row r="284" spans="1:3" x14ac:dyDescent="0.25">
      <c r="A284" s="5">
        <v>43018</v>
      </c>
      <c r="B284" s="5">
        <f t="shared" si="8"/>
        <v>43039</v>
      </c>
      <c r="C284" t="str">
        <f t="shared" ca="1" si="9"/>
        <v>месяц закрыт</v>
      </c>
    </row>
    <row r="285" spans="1:3" x14ac:dyDescent="0.25">
      <c r="A285" s="5">
        <v>43019</v>
      </c>
      <c r="B285" s="5">
        <f t="shared" si="8"/>
        <v>43039</v>
      </c>
      <c r="C285" t="str">
        <f t="shared" ca="1" si="9"/>
        <v>месяц закрыт</v>
      </c>
    </row>
    <row r="286" spans="1:3" x14ac:dyDescent="0.25">
      <c r="A286" s="5">
        <v>43020</v>
      </c>
      <c r="B286" s="5">
        <f t="shared" si="8"/>
        <v>43039</v>
      </c>
      <c r="C286" t="str">
        <f t="shared" ca="1" si="9"/>
        <v>месяц закрыт</v>
      </c>
    </row>
    <row r="287" spans="1:3" x14ac:dyDescent="0.25">
      <c r="A287" s="5">
        <v>43021</v>
      </c>
      <c r="B287" s="5">
        <f t="shared" si="8"/>
        <v>43039</v>
      </c>
      <c r="C287" t="str">
        <f t="shared" ca="1" si="9"/>
        <v>месяц закрыт</v>
      </c>
    </row>
    <row r="288" spans="1:3" x14ac:dyDescent="0.25">
      <c r="A288" s="5">
        <v>43022</v>
      </c>
      <c r="B288" s="5">
        <f t="shared" si="8"/>
        <v>43039</v>
      </c>
      <c r="C288" t="str">
        <f t="shared" ca="1" si="9"/>
        <v>месяц закрыт</v>
      </c>
    </row>
    <row r="289" spans="1:3" x14ac:dyDescent="0.25">
      <c r="A289" s="5">
        <v>43023</v>
      </c>
      <c r="B289" s="5">
        <f t="shared" si="8"/>
        <v>43039</v>
      </c>
      <c r="C289" t="str">
        <f t="shared" ca="1" si="9"/>
        <v>месяц закрыт</v>
      </c>
    </row>
    <row r="290" spans="1:3" x14ac:dyDescent="0.25">
      <c r="A290" s="5">
        <v>43024</v>
      </c>
      <c r="B290" s="5">
        <f t="shared" si="8"/>
        <v>43039</v>
      </c>
      <c r="C290" t="str">
        <f t="shared" ca="1" si="9"/>
        <v>месяц закрыт</v>
      </c>
    </row>
    <row r="291" spans="1:3" x14ac:dyDescent="0.25">
      <c r="A291" s="5">
        <v>43025</v>
      </c>
      <c r="B291" s="5">
        <f t="shared" si="8"/>
        <v>43039</v>
      </c>
      <c r="C291" t="str">
        <f t="shared" ca="1" si="9"/>
        <v>месяц закрыт</v>
      </c>
    </row>
    <row r="292" spans="1:3" x14ac:dyDescent="0.25">
      <c r="A292" s="5">
        <v>43026</v>
      </c>
      <c r="B292" s="5">
        <f t="shared" si="8"/>
        <v>43039</v>
      </c>
      <c r="C292" t="str">
        <f t="shared" ca="1" si="9"/>
        <v>месяц закрыт</v>
      </c>
    </row>
    <row r="293" spans="1:3" x14ac:dyDescent="0.25">
      <c r="A293" s="5">
        <v>43027</v>
      </c>
      <c r="B293" s="5">
        <f t="shared" si="8"/>
        <v>43039</v>
      </c>
      <c r="C293" t="str">
        <f t="shared" ca="1" si="9"/>
        <v>месяц закрыт</v>
      </c>
    </row>
    <row r="294" spans="1:3" x14ac:dyDescent="0.25">
      <c r="A294" s="5">
        <v>43028</v>
      </c>
      <c r="B294" s="5">
        <f t="shared" si="8"/>
        <v>43039</v>
      </c>
      <c r="C294" t="str">
        <f t="shared" ca="1" si="9"/>
        <v>месяц закрыт</v>
      </c>
    </row>
    <row r="295" spans="1:3" x14ac:dyDescent="0.25">
      <c r="A295" s="5">
        <v>43029</v>
      </c>
      <c r="B295" s="5">
        <f t="shared" si="8"/>
        <v>43039</v>
      </c>
      <c r="C295" t="str">
        <f t="shared" ca="1" si="9"/>
        <v>месяц закрыт</v>
      </c>
    </row>
    <row r="296" spans="1:3" x14ac:dyDescent="0.25">
      <c r="A296" s="5">
        <v>43030</v>
      </c>
      <c r="B296" s="5">
        <f t="shared" si="8"/>
        <v>43039</v>
      </c>
      <c r="C296" t="str">
        <f t="shared" ca="1" si="9"/>
        <v>месяц закрыт</v>
      </c>
    </row>
    <row r="297" spans="1:3" x14ac:dyDescent="0.25">
      <c r="A297" s="5">
        <v>43031</v>
      </c>
      <c r="B297" s="5">
        <f t="shared" si="8"/>
        <v>43039</v>
      </c>
      <c r="C297" t="str">
        <f t="shared" ca="1" si="9"/>
        <v>месяц закрыт</v>
      </c>
    </row>
    <row r="298" spans="1:3" x14ac:dyDescent="0.25">
      <c r="A298" s="5">
        <v>43032</v>
      </c>
      <c r="B298" s="5">
        <f t="shared" si="8"/>
        <v>43039</v>
      </c>
      <c r="C298" t="str">
        <f t="shared" ca="1" si="9"/>
        <v>месяц закрыт</v>
      </c>
    </row>
    <row r="299" spans="1:3" x14ac:dyDescent="0.25">
      <c r="A299" s="5">
        <v>43033</v>
      </c>
      <c r="B299" s="5">
        <f t="shared" si="8"/>
        <v>43039</v>
      </c>
      <c r="C299" t="str">
        <f t="shared" ca="1" si="9"/>
        <v>месяц закрыт</v>
      </c>
    </row>
    <row r="300" spans="1:3" x14ac:dyDescent="0.25">
      <c r="A300" s="5">
        <v>43034</v>
      </c>
      <c r="B300" s="5">
        <f t="shared" si="8"/>
        <v>43039</v>
      </c>
      <c r="C300" t="str">
        <f t="shared" ca="1" si="9"/>
        <v>месяц закрыт</v>
      </c>
    </row>
    <row r="301" spans="1:3" x14ac:dyDescent="0.25">
      <c r="A301" s="5">
        <v>43035</v>
      </c>
      <c r="B301" s="5">
        <f t="shared" si="8"/>
        <v>43039</v>
      </c>
      <c r="C301" t="str">
        <f t="shared" ca="1" si="9"/>
        <v>месяц закрыт</v>
      </c>
    </row>
    <row r="302" spans="1:3" x14ac:dyDescent="0.25">
      <c r="A302" s="5">
        <v>43036</v>
      </c>
      <c r="B302" s="5">
        <f t="shared" si="8"/>
        <v>43039</v>
      </c>
      <c r="C302" t="str">
        <f t="shared" ca="1" si="9"/>
        <v>месяц закрыт</v>
      </c>
    </row>
    <row r="303" spans="1:3" x14ac:dyDescent="0.25">
      <c r="A303" s="5">
        <v>43037</v>
      </c>
      <c r="B303" s="5">
        <f t="shared" si="8"/>
        <v>43039</v>
      </c>
      <c r="C303" t="str">
        <f t="shared" ca="1" si="9"/>
        <v>месяц закрыт</v>
      </c>
    </row>
    <row r="304" spans="1:3" x14ac:dyDescent="0.25">
      <c r="A304" s="5">
        <v>43038</v>
      </c>
      <c r="B304" s="5">
        <f t="shared" si="8"/>
        <v>43039</v>
      </c>
      <c r="C304" t="str">
        <f t="shared" ca="1" si="9"/>
        <v>месяц закрыт</v>
      </c>
    </row>
    <row r="305" spans="1:3" x14ac:dyDescent="0.25">
      <c r="A305" s="5">
        <v>43039</v>
      </c>
      <c r="B305" s="5">
        <f t="shared" si="8"/>
        <v>43039</v>
      </c>
      <c r="C305" t="str">
        <f t="shared" ca="1" si="9"/>
        <v>месяц закрыт</v>
      </c>
    </row>
    <row r="306" spans="1:3" x14ac:dyDescent="0.25">
      <c r="A306" s="5">
        <v>43040</v>
      </c>
      <c r="B306" s="5">
        <f t="shared" si="8"/>
        <v>43069</v>
      </c>
      <c r="C306" t="str">
        <f t="shared" ca="1" si="9"/>
        <v>месяц закрыт</v>
      </c>
    </row>
    <row r="307" spans="1:3" x14ac:dyDescent="0.25">
      <c r="A307" s="5">
        <v>43041</v>
      </c>
      <c r="B307" s="5">
        <f t="shared" si="8"/>
        <v>43069</v>
      </c>
      <c r="C307" t="str">
        <f t="shared" ca="1" si="9"/>
        <v>месяц закрыт</v>
      </c>
    </row>
    <row r="308" spans="1:3" x14ac:dyDescent="0.25">
      <c r="A308" s="5">
        <v>43042</v>
      </c>
      <c r="B308" s="5">
        <f t="shared" si="8"/>
        <v>43069</v>
      </c>
      <c r="C308" t="str">
        <f t="shared" ca="1" si="9"/>
        <v>месяц закрыт</v>
      </c>
    </row>
    <row r="309" spans="1:3" x14ac:dyDescent="0.25">
      <c r="A309" s="5">
        <v>43043</v>
      </c>
      <c r="B309" s="5">
        <f t="shared" si="8"/>
        <v>43069</v>
      </c>
      <c r="C309" t="str">
        <f t="shared" ca="1" si="9"/>
        <v>месяц закрыт</v>
      </c>
    </row>
    <row r="310" spans="1:3" x14ac:dyDescent="0.25">
      <c r="A310" s="5">
        <v>43044</v>
      </c>
      <c r="B310" s="5">
        <f t="shared" si="8"/>
        <v>43069</v>
      </c>
      <c r="C310" t="str">
        <f t="shared" ca="1" si="9"/>
        <v>месяц закрыт</v>
      </c>
    </row>
    <row r="311" spans="1:3" x14ac:dyDescent="0.25">
      <c r="A311" s="5">
        <v>43045</v>
      </c>
      <c r="B311" s="5">
        <f t="shared" si="8"/>
        <v>43069</v>
      </c>
      <c r="C311" t="str">
        <f t="shared" ca="1" si="9"/>
        <v>месяц закрыт</v>
      </c>
    </row>
    <row r="312" spans="1:3" x14ac:dyDescent="0.25">
      <c r="A312" s="5">
        <v>43046</v>
      </c>
      <c r="B312" s="5">
        <f t="shared" si="8"/>
        <v>43069</v>
      </c>
      <c r="C312" t="str">
        <f t="shared" ca="1" si="9"/>
        <v>месяц закрыт</v>
      </c>
    </row>
    <row r="313" spans="1:3" x14ac:dyDescent="0.25">
      <c r="A313" s="5">
        <v>43047</v>
      </c>
      <c r="B313" s="5">
        <f t="shared" si="8"/>
        <v>43069</v>
      </c>
      <c r="C313" t="str">
        <f t="shared" ca="1" si="9"/>
        <v>месяц закрыт</v>
      </c>
    </row>
    <row r="314" spans="1:3" x14ac:dyDescent="0.25">
      <c r="A314" s="5">
        <v>43048</v>
      </c>
      <c r="B314" s="5">
        <f t="shared" si="8"/>
        <v>43069</v>
      </c>
      <c r="C314" t="str">
        <f t="shared" ca="1" si="9"/>
        <v>месяц закрыт</v>
      </c>
    </row>
    <row r="315" spans="1:3" x14ac:dyDescent="0.25">
      <c r="A315" s="5">
        <v>43049</v>
      </c>
      <c r="B315" s="5">
        <f t="shared" si="8"/>
        <v>43069</v>
      </c>
      <c r="C315" t="str">
        <f t="shared" ca="1" si="9"/>
        <v>месяц закрыт</v>
      </c>
    </row>
    <row r="316" spans="1:3" x14ac:dyDescent="0.25">
      <c r="A316" s="5">
        <v>43050</v>
      </c>
      <c r="B316" s="5">
        <f t="shared" si="8"/>
        <v>43069</v>
      </c>
      <c r="C316" t="str">
        <f t="shared" ca="1" si="9"/>
        <v>месяц закрыт</v>
      </c>
    </row>
    <row r="317" spans="1:3" x14ac:dyDescent="0.25">
      <c r="A317" s="5">
        <v>43051</v>
      </c>
      <c r="B317" s="5">
        <f t="shared" si="8"/>
        <v>43069</v>
      </c>
      <c r="C317" t="str">
        <f t="shared" ca="1" si="9"/>
        <v>месяц закрыт</v>
      </c>
    </row>
    <row r="318" spans="1:3" x14ac:dyDescent="0.25">
      <c r="A318" s="5">
        <v>43052</v>
      </c>
      <c r="B318" s="5">
        <f t="shared" si="8"/>
        <v>43069</v>
      </c>
      <c r="C318" t="str">
        <f t="shared" ca="1" si="9"/>
        <v>месяц закрыт</v>
      </c>
    </row>
    <row r="319" spans="1:3" x14ac:dyDescent="0.25">
      <c r="A319" s="5">
        <v>43053</v>
      </c>
      <c r="B319" s="5">
        <f t="shared" si="8"/>
        <v>43069</v>
      </c>
      <c r="C319" t="str">
        <f t="shared" ca="1" si="9"/>
        <v>месяц закрыт</v>
      </c>
    </row>
    <row r="320" spans="1:3" x14ac:dyDescent="0.25">
      <c r="A320" s="5">
        <v>43054</v>
      </c>
      <c r="B320" s="5">
        <f t="shared" si="8"/>
        <v>43069</v>
      </c>
      <c r="C320" t="str">
        <f t="shared" ca="1" si="9"/>
        <v>месяц закрыт</v>
      </c>
    </row>
    <row r="321" spans="1:3" x14ac:dyDescent="0.25">
      <c r="A321" s="5">
        <v>43055</v>
      </c>
      <c r="B321" s="5">
        <f t="shared" si="8"/>
        <v>43069</v>
      </c>
      <c r="C321" t="str">
        <f t="shared" ca="1" si="9"/>
        <v>месяц закрыт</v>
      </c>
    </row>
    <row r="322" spans="1:3" x14ac:dyDescent="0.25">
      <c r="A322" s="5">
        <v>43056</v>
      </c>
      <c r="B322" s="5">
        <f t="shared" si="8"/>
        <v>43069</v>
      </c>
      <c r="C322" t="str">
        <f t="shared" ca="1" si="9"/>
        <v>месяц закрыт</v>
      </c>
    </row>
    <row r="323" spans="1:3" x14ac:dyDescent="0.25">
      <c r="A323" s="5">
        <v>43057</v>
      </c>
      <c r="B323" s="5">
        <f t="shared" ref="B323:B386" si="10">EOMONTH(A323,0)</f>
        <v>43069</v>
      </c>
      <c r="C323" t="str">
        <f t="shared" ref="C323:C386" ca="1" si="11">IF((B323-$D$2)&lt;0,"месяц закрыт","месяц не закрыт")</f>
        <v>месяц закрыт</v>
      </c>
    </row>
    <row r="324" spans="1:3" x14ac:dyDescent="0.25">
      <c r="A324" s="5">
        <v>43058</v>
      </c>
      <c r="B324" s="5">
        <f t="shared" si="10"/>
        <v>43069</v>
      </c>
      <c r="C324" t="str">
        <f t="shared" ca="1" si="11"/>
        <v>месяц закрыт</v>
      </c>
    </row>
    <row r="325" spans="1:3" x14ac:dyDescent="0.25">
      <c r="A325" s="5">
        <v>43059</v>
      </c>
      <c r="B325" s="5">
        <f t="shared" si="10"/>
        <v>43069</v>
      </c>
      <c r="C325" t="str">
        <f t="shared" ca="1" si="11"/>
        <v>месяц закрыт</v>
      </c>
    </row>
    <row r="326" spans="1:3" x14ac:dyDescent="0.25">
      <c r="A326" s="5">
        <v>43060</v>
      </c>
      <c r="B326" s="5">
        <f t="shared" si="10"/>
        <v>43069</v>
      </c>
      <c r="C326" t="str">
        <f t="shared" ca="1" si="11"/>
        <v>месяц закрыт</v>
      </c>
    </row>
    <row r="327" spans="1:3" x14ac:dyDescent="0.25">
      <c r="A327" s="5">
        <v>43061</v>
      </c>
      <c r="B327" s="5">
        <f t="shared" si="10"/>
        <v>43069</v>
      </c>
      <c r="C327" t="str">
        <f t="shared" ca="1" si="11"/>
        <v>месяц закрыт</v>
      </c>
    </row>
    <row r="328" spans="1:3" x14ac:dyDescent="0.25">
      <c r="A328" s="5">
        <v>43062</v>
      </c>
      <c r="B328" s="5">
        <f t="shared" si="10"/>
        <v>43069</v>
      </c>
      <c r="C328" t="str">
        <f t="shared" ca="1" si="11"/>
        <v>месяц закрыт</v>
      </c>
    </row>
    <row r="329" spans="1:3" x14ac:dyDescent="0.25">
      <c r="A329" s="5">
        <v>43063</v>
      </c>
      <c r="B329" s="5">
        <f t="shared" si="10"/>
        <v>43069</v>
      </c>
      <c r="C329" t="str">
        <f t="shared" ca="1" si="11"/>
        <v>месяц закрыт</v>
      </c>
    </row>
    <row r="330" spans="1:3" x14ac:dyDescent="0.25">
      <c r="A330" s="5">
        <v>43064</v>
      </c>
      <c r="B330" s="5">
        <f t="shared" si="10"/>
        <v>43069</v>
      </c>
      <c r="C330" t="str">
        <f t="shared" ca="1" si="11"/>
        <v>месяц закрыт</v>
      </c>
    </row>
    <row r="331" spans="1:3" x14ac:dyDescent="0.25">
      <c r="A331" s="5">
        <v>43065</v>
      </c>
      <c r="B331" s="5">
        <f t="shared" si="10"/>
        <v>43069</v>
      </c>
      <c r="C331" t="str">
        <f t="shared" ca="1" si="11"/>
        <v>месяц закрыт</v>
      </c>
    </row>
    <row r="332" spans="1:3" x14ac:dyDescent="0.25">
      <c r="A332" s="5">
        <v>43066</v>
      </c>
      <c r="B332" s="5">
        <f t="shared" si="10"/>
        <v>43069</v>
      </c>
      <c r="C332" t="str">
        <f t="shared" ca="1" si="11"/>
        <v>месяц закрыт</v>
      </c>
    </row>
    <row r="333" spans="1:3" x14ac:dyDescent="0.25">
      <c r="A333" s="5">
        <v>43067</v>
      </c>
      <c r="B333" s="5">
        <f t="shared" si="10"/>
        <v>43069</v>
      </c>
      <c r="C333" t="str">
        <f t="shared" ca="1" si="11"/>
        <v>месяц закрыт</v>
      </c>
    </row>
    <row r="334" spans="1:3" x14ac:dyDescent="0.25">
      <c r="A334" s="5">
        <v>43068</v>
      </c>
      <c r="B334" s="5">
        <f t="shared" si="10"/>
        <v>43069</v>
      </c>
      <c r="C334" t="str">
        <f t="shared" ca="1" si="11"/>
        <v>месяц закрыт</v>
      </c>
    </row>
    <row r="335" spans="1:3" x14ac:dyDescent="0.25">
      <c r="A335" s="5">
        <v>43069</v>
      </c>
      <c r="B335" s="5">
        <f t="shared" si="10"/>
        <v>43069</v>
      </c>
      <c r="C335" t="str">
        <f t="shared" ca="1" si="11"/>
        <v>месяц закрыт</v>
      </c>
    </row>
    <row r="336" spans="1:3" x14ac:dyDescent="0.25">
      <c r="A336" s="5">
        <v>43070</v>
      </c>
      <c r="B336" s="5">
        <f t="shared" si="10"/>
        <v>43100</v>
      </c>
      <c r="C336" t="str">
        <f t="shared" ca="1" si="11"/>
        <v>месяц закрыт</v>
      </c>
    </row>
    <row r="337" spans="1:3" x14ac:dyDescent="0.25">
      <c r="A337" s="5">
        <v>43071</v>
      </c>
      <c r="B337" s="5">
        <f t="shared" si="10"/>
        <v>43100</v>
      </c>
      <c r="C337" t="str">
        <f t="shared" ca="1" si="11"/>
        <v>месяц закрыт</v>
      </c>
    </row>
    <row r="338" spans="1:3" x14ac:dyDescent="0.25">
      <c r="A338" s="5">
        <v>43072</v>
      </c>
      <c r="B338" s="5">
        <f t="shared" si="10"/>
        <v>43100</v>
      </c>
      <c r="C338" t="str">
        <f t="shared" ca="1" si="11"/>
        <v>месяц закрыт</v>
      </c>
    </row>
    <row r="339" spans="1:3" x14ac:dyDescent="0.25">
      <c r="A339" s="5">
        <v>43073</v>
      </c>
      <c r="B339" s="5">
        <f t="shared" si="10"/>
        <v>43100</v>
      </c>
      <c r="C339" t="str">
        <f t="shared" ca="1" si="11"/>
        <v>месяц закрыт</v>
      </c>
    </row>
    <row r="340" spans="1:3" x14ac:dyDescent="0.25">
      <c r="A340" s="5">
        <v>43074</v>
      </c>
      <c r="B340" s="5">
        <f t="shared" si="10"/>
        <v>43100</v>
      </c>
      <c r="C340" t="str">
        <f t="shared" ca="1" si="11"/>
        <v>месяц закрыт</v>
      </c>
    </row>
    <row r="341" spans="1:3" x14ac:dyDescent="0.25">
      <c r="A341" s="5">
        <v>43075</v>
      </c>
      <c r="B341" s="5">
        <f t="shared" si="10"/>
        <v>43100</v>
      </c>
      <c r="C341" t="str">
        <f t="shared" ca="1" si="11"/>
        <v>месяц закрыт</v>
      </c>
    </row>
    <row r="342" spans="1:3" x14ac:dyDescent="0.25">
      <c r="A342" s="5">
        <v>43076</v>
      </c>
      <c r="B342" s="5">
        <f t="shared" si="10"/>
        <v>43100</v>
      </c>
      <c r="C342" t="str">
        <f t="shared" ca="1" si="11"/>
        <v>месяц закрыт</v>
      </c>
    </row>
    <row r="343" spans="1:3" x14ac:dyDescent="0.25">
      <c r="A343" s="5">
        <v>43077</v>
      </c>
      <c r="B343" s="5">
        <f t="shared" si="10"/>
        <v>43100</v>
      </c>
      <c r="C343" t="str">
        <f t="shared" ca="1" si="11"/>
        <v>месяц закрыт</v>
      </c>
    </row>
    <row r="344" spans="1:3" x14ac:dyDescent="0.25">
      <c r="A344" s="5">
        <v>43078</v>
      </c>
      <c r="B344" s="5">
        <f t="shared" si="10"/>
        <v>43100</v>
      </c>
      <c r="C344" t="str">
        <f t="shared" ca="1" si="11"/>
        <v>месяц закрыт</v>
      </c>
    </row>
    <row r="345" spans="1:3" x14ac:dyDescent="0.25">
      <c r="A345" s="5">
        <v>43079</v>
      </c>
      <c r="B345" s="5">
        <f t="shared" si="10"/>
        <v>43100</v>
      </c>
      <c r="C345" t="str">
        <f t="shared" ca="1" si="11"/>
        <v>месяц закрыт</v>
      </c>
    </row>
    <row r="346" spans="1:3" x14ac:dyDescent="0.25">
      <c r="A346" s="5">
        <v>43080</v>
      </c>
      <c r="B346" s="5">
        <f t="shared" si="10"/>
        <v>43100</v>
      </c>
      <c r="C346" t="str">
        <f t="shared" ca="1" si="11"/>
        <v>месяц закрыт</v>
      </c>
    </row>
    <row r="347" spans="1:3" x14ac:dyDescent="0.25">
      <c r="A347" s="5">
        <v>43081</v>
      </c>
      <c r="B347" s="5">
        <f t="shared" si="10"/>
        <v>43100</v>
      </c>
      <c r="C347" t="str">
        <f t="shared" ca="1" si="11"/>
        <v>месяц закрыт</v>
      </c>
    </row>
    <row r="348" spans="1:3" x14ac:dyDescent="0.25">
      <c r="A348" s="5">
        <v>43082</v>
      </c>
      <c r="B348" s="5">
        <f t="shared" si="10"/>
        <v>43100</v>
      </c>
      <c r="C348" t="str">
        <f t="shared" ca="1" si="11"/>
        <v>месяц закрыт</v>
      </c>
    </row>
    <row r="349" spans="1:3" x14ac:dyDescent="0.25">
      <c r="A349" s="5">
        <v>43083</v>
      </c>
      <c r="B349" s="5">
        <f t="shared" si="10"/>
        <v>43100</v>
      </c>
      <c r="C349" t="str">
        <f t="shared" ca="1" si="11"/>
        <v>месяц закрыт</v>
      </c>
    </row>
    <row r="350" spans="1:3" x14ac:dyDescent="0.25">
      <c r="A350" s="5">
        <v>43084</v>
      </c>
      <c r="B350" s="5">
        <f t="shared" si="10"/>
        <v>43100</v>
      </c>
      <c r="C350" t="str">
        <f t="shared" ca="1" si="11"/>
        <v>месяц закрыт</v>
      </c>
    </row>
    <row r="351" spans="1:3" x14ac:dyDescent="0.25">
      <c r="A351" s="5">
        <v>43085</v>
      </c>
      <c r="B351" s="5">
        <f t="shared" si="10"/>
        <v>43100</v>
      </c>
      <c r="C351" t="str">
        <f t="shared" ca="1" si="11"/>
        <v>месяц закрыт</v>
      </c>
    </row>
    <row r="352" spans="1:3" x14ac:dyDescent="0.25">
      <c r="A352" s="5">
        <v>43086</v>
      </c>
      <c r="B352" s="5">
        <f t="shared" si="10"/>
        <v>43100</v>
      </c>
      <c r="C352" t="str">
        <f t="shared" ca="1" si="11"/>
        <v>месяц закрыт</v>
      </c>
    </row>
    <row r="353" spans="1:3" x14ac:dyDescent="0.25">
      <c r="A353" s="5">
        <v>43087</v>
      </c>
      <c r="B353" s="5">
        <f t="shared" si="10"/>
        <v>43100</v>
      </c>
      <c r="C353" t="str">
        <f t="shared" ca="1" si="11"/>
        <v>месяц закрыт</v>
      </c>
    </row>
    <row r="354" spans="1:3" x14ac:dyDescent="0.25">
      <c r="A354" s="5">
        <v>43088</v>
      </c>
      <c r="B354" s="5">
        <f t="shared" si="10"/>
        <v>43100</v>
      </c>
      <c r="C354" t="str">
        <f t="shared" ca="1" si="11"/>
        <v>месяц закрыт</v>
      </c>
    </row>
    <row r="355" spans="1:3" x14ac:dyDescent="0.25">
      <c r="A355" s="5">
        <v>43089</v>
      </c>
      <c r="B355" s="5">
        <f t="shared" si="10"/>
        <v>43100</v>
      </c>
      <c r="C355" t="str">
        <f t="shared" ca="1" si="11"/>
        <v>месяц закрыт</v>
      </c>
    </row>
    <row r="356" spans="1:3" x14ac:dyDescent="0.25">
      <c r="A356" s="5">
        <v>43090</v>
      </c>
      <c r="B356" s="5">
        <f t="shared" si="10"/>
        <v>43100</v>
      </c>
      <c r="C356" t="str">
        <f t="shared" ca="1" si="11"/>
        <v>месяц закрыт</v>
      </c>
    </row>
    <row r="357" spans="1:3" x14ac:dyDescent="0.25">
      <c r="A357" s="5">
        <v>43091</v>
      </c>
      <c r="B357" s="5">
        <f t="shared" si="10"/>
        <v>43100</v>
      </c>
      <c r="C357" t="str">
        <f t="shared" ca="1" si="11"/>
        <v>месяц закрыт</v>
      </c>
    </row>
    <row r="358" spans="1:3" x14ac:dyDescent="0.25">
      <c r="A358" s="5">
        <v>43092</v>
      </c>
      <c r="B358" s="5">
        <f t="shared" si="10"/>
        <v>43100</v>
      </c>
      <c r="C358" t="str">
        <f t="shared" ca="1" si="11"/>
        <v>месяц закрыт</v>
      </c>
    </row>
    <row r="359" spans="1:3" x14ac:dyDescent="0.25">
      <c r="A359" s="5">
        <v>43093</v>
      </c>
      <c r="B359" s="5">
        <f t="shared" si="10"/>
        <v>43100</v>
      </c>
      <c r="C359" t="str">
        <f t="shared" ca="1" si="11"/>
        <v>месяц закрыт</v>
      </c>
    </row>
    <row r="360" spans="1:3" x14ac:dyDescent="0.25">
      <c r="A360" s="5">
        <v>43094</v>
      </c>
      <c r="B360" s="5">
        <f t="shared" si="10"/>
        <v>43100</v>
      </c>
      <c r="C360" t="str">
        <f t="shared" ca="1" si="11"/>
        <v>месяц закрыт</v>
      </c>
    </row>
    <row r="361" spans="1:3" x14ac:dyDescent="0.25">
      <c r="A361" s="5">
        <v>43095</v>
      </c>
      <c r="B361" s="5">
        <f t="shared" si="10"/>
        <v>43100</v>
      </c>
      <c r="C361" t="str">
        <f t="shared" ca="1" si="11"/>
        <v>месяц закрыт</v>
      </c>
    </row>
    <row r="362" spans="1:3" x14ac:dyDescent="0.25">
      <c r="A362" s="5">
        <v>43096</v>
      </c>
      <c r="B362" s="5">
        <f t="shared" si="10"/>
        <v>43100</v>
      </c>
      <c r="C362" t="str">
        <f t="shared" ca="1" si="11"/>
        <v>месяц закрыт</v>
      </c>
    </row>
    <row r="363" spans="1:3" x14ac:dyDescent="0.25">
      <c r="A363" s="5">
        <v>43097</v>
      </c>
      <c r="B363" s="5">
        <f t="shared" si="10"/>
        <v>43100</v>
      </c>
      <c r="C363" t="str">
        <f t="shared" ca="1" si="11"/>
        <v>месяц закрыт</v>
      </c>
    </row>
    <row r="364" spans="1:3" x14ac:dyDescent="0.25">
      <c r="A364" s="5">
        <v>43098</v>
      </c>
      <c r="B364" s="5">
        <f t="shared" si="10"/>
        <v>43100</v>
      </c>
      <c r="C364" t="str">
        <f t="shared" ca="1" si="11"/>
        <v>месяц закрыт</v>
      </c>
    </row>
    <row r="365" spans="1:3" x14ac:dyDescent="0.25">
      <c r="A365" s="5">
        <v>43099</v>
      </c>
      <c r="B365" s="5">
        <f t="shared" si="10"/>
        <v>43100</v>
      </c>
      <c r="C365" t="str">
        <f t="shared" ca="1" si="11"/>
        <v>месяц закрыт</v>
      </c>
    </row>
    <row r="366" spans="1:3" x14ac:dyDescent="0.25">
      <c r="A366" s="5">
        <v>43100</v>
      </c>
      <c r="B366" s="5">
        <f t="shared" si="10"/>
        <v>43100</v>
      </c>
      <c r="C366" t="str">
        <f t="shared" ca="1" si="11"/>
        <v>месяц закрыт</v>
      </c>
    </row>
    <row r="367" spans="1:3" x14ac:dyDescent="0.25">
      <c r="A367" s="5">
        <v>43101</v>
      </c>
      <c r="B367" s="5">
        <f t="shared" si="10"/>
        <v>43131</v>
      </c>
      <c r="C367" t="str">
        <f t="shared" ca="1" si="11"/>
        <v>месяц не закрыт</v>
      </c>
    </row>
    <row r="368" spans="1:3" x14ac:dyDescent="0.25">
      <c r="A368" s="5">
        <v>43102</v>
      </c>
      <c r="B368" s="5">
        <f t="shared" si="10"/>
        <v>43131</v>
      </c>
      <c r="C368" t="str">
        <f t="shared" ca="1" si="11"/>
        <v>месяц не закрыт</v>
      </c>
    </row>
    <row r="369" spans="1:3" x14ac:dyDescent="0.25">
      <c r="A369" s="5">
        <v>43103</v>
      </c>
      <c r="B369" s="5">
        <f t="shared" si="10"/>
        <v>43131</v>
      </c>
      <c r="C369" t="str">
        <f t="shared" ca="1" si="11"/>
        <v>месяц не закрыт</v>
      </c>
    </row>
    <row r="370" spans="1:3" x14ac:dyDescent="0.25">
      <c r="A370" s="5">
        <v>43104</v>
      </c>
      <c r="B370" s="5">
        <f t="shared" si="10"/>
        <v>43131</v>
      </c>
      <c r="C370" t="str">
        <f t="shared" ca="1" si="11"/>
        <v>месяц не закрыт</v>
      </c>
    </row>
    <row r="371" spans="1:3" x14ac:dyDescent="0.25">
      <c r="A371" s="5">
        <v>43105</v>
      </c>
      <c r="B371" s="5">
        <f t="shared" si="10"/>
        <v>43131</v>
      </c>
      <c r="C371" t="str">
        <f t="shared" ca="1" si="11"/>
        <v>месяц не закрыт</v>
      </c>
    </row>
    <row r="372" spans="1:3" x14ac:dyDescent="0.25">
      <c r="A372" s="5">
        <v>43106</v>
      </c>
      <c r="B372" s="5">
        <f t="shared" si="10"/>
        <v>43131</v>
      </c>
      <c r="C372" t="str">
        <f t="shared" ca="1" si="11"/>
        <v>месяц не закрыт</v>
      </c>
    </row>
    <row r="373" spans="1:3" x14ac:dyDescent="0.25">
      <c r="A373" s="5">
        <v>43107</v>
      </c>
      <c r="B373" s="5">
        <f t="shared" si="10"/>
        <v>43131</v>
      </c>
      <c r="C373" t="str">
        <f t="shared" ca="1" si="11"/>
        <v>месяц не закрыт</v>
      </c>
    </row>
    <row r="374" spans="1:3" x14ac:dyDescent="0.25">
      <c r="A374" s="5">
        <v>43108</v>
      </c>
      <c r="B374" s="5">
        <f t="shared" si="10"/>
        <v>43131</v>
      </c>
      <c r="C374" t="str">
        <f t="shared" ca="1" si="11"/>
        <v>месяц не закрыт</v>
      </c>
    </row>
    <row r="375" spans="1:3" x14ac:dyDescent="0.25">
      <c r="A375" s="5">
        <v>43109</v>
      </c>
      <c r="B375" s="5">
        <f t="shared" si="10"/>
        <v>43131</v>
      </c>
      <c r="C375" t="str">
        <f t="shared" ca="1" si="11"/>
        <v>месяц не закрыт</v>
      </c>
    </row>
    <row r="376" spans="1:3" x14ac:dyDescent="0.25">
      <c r="A376" s="5">
        <v>43110</v>
      </c>
      <c r="B376" s="5">
        <f t="shared" si="10"/>
        <v>43131</v>
      </c>
      <c r="C376" t="str">
        <f t="shared" ca="1" si="11"/>
        <v>месяц не закрыт</v>
      </c>
    </row>
    <row r="377" spans="1:3" x14ac:dyDescent="0.25">
      <c r="A377" s="5">
        <v>43111</v>
      </c>
      <c r="B377" s="5">
        <f t="shared" si="10"/>
        <v>43131</v>
      </c>
      <c r="C377" t="str">
        <f t="shared" ca="1" si="11"/>
        <v>месяц не закрыт</v>
      </c>
    </row>
    <row r="378" spans="1:3" x14ac:dyDescent="0.25">
      <c r="A378" s="5">
        <v>43112</v>
      </c>
      <c r="B378" s="5">
        <f t="shared" si="10"/>
        <v>43131</v>
      </c>
      <c r="C378" t="str">
        <f t="shared" ca="1" si="11"/>
        <v>месяц не закрыт</v>
      </c>
    </row>
    <row r="379" spans="1:3" x14ac:dyDescent="0.25">
      <c r="A379" s="5">
        <v>43113</v>
      </c>
      <c r="B379" s="5">
        <f t="shared" si="10"/>
        <v>43131</v>
      </c>
      <c r="C379" t="str">
        <f t="shared" ca="1" si="11"/>
        <v>месяц не закрыт</v>
      </c>
    </row>
    <row r="380" spans="1:3" x14ac:dyDescent="0.25">
      <c r="A380" s="5">
        <v>43114</v>
      </c>
      <c r="B380" s="5">
        <f t="shared" si="10"/>
        <v>43131</v>
      </c>
      <c r="C380" t="str">
        <f t="shared" ca="1" si="11"/>
        <v>месяц не закрыт</v>
      </c>
    </row>
    <row r="381" spans="1:3" x14ac:dyDescent="0.25">
      <c r="A381" s="5">
        <v>43115</v>
      </c>
      <c r="B381" s="5">
        <f t="shared" si="10"/>
        <v>43131</v>
      </c>
      <c r="C381" t="str">
        <f t="shared" ca="1" si="11"/>
        <v>месяц не закрыт</v>
      </c>
    </row>
    <row r="382" spans="1:3" x14ac:dyDescent="0.25">
      <c r="A382" s="5">
        <v>43116</v>
      </c>
      <c r="B382" s="5">
        <f t="shared" si="10"/>
        <v>43131</v>
      </c>
      <c r="C382" t="str">
        <f t="shared" ca="1" si="11"/>
        <v>месяц не закрыт</v>
      </c>
    </row>
    <row r="383" spans="1:3" x14ac:dyDescent="0.25">
      <c r="A383" s="5">
        <v>43117</v>
      </c>
      <c r="B383" s="5">
        <f t="shared" si="10"/>
        <v>43131</v>
      </c>
      <c r="C383" t="str">
        <f t="shared" ca="1" si="11"/>
        <v>месяц не закрыт</v>
      </c>
    </row>
    <row r="384" spans="1:3" x14ac:dyDescent="0.25">
      <c r="A384" s="5">
        <v>43118</v>
      </c>
      <c r="B384" s="5">
        <f t="shared" si="10"/>
        <v>43131</v>
      </c>
      <c r="C384" t="str">
        <f t="shared" ca="1" si="11"/>
        <v>месяц не закрыт</v>
      </c>
    </row>
    <row r="385" spans="1:3" x14ac:dyDescent="0.25">
      <c r="A385" s="5">
        <v>43119</v>
      </c>
      <c r="B385" s="5">
        <f t="shared" si="10"/>
        <v>43131</v>
      </c>
      <c r="C385" t="str">
        <f t="shared" ca="1" si="11"/>
        <v>месяц не закрыт</v>
      </c>
    </row>
    <row r="386" spans="1:3" x14ac:dyDescent="0.25">
      <c r="A386" s="5">
        <v>43120</v>
      </c>
      <c r="B386" s="5">
        <f t="shared" si="10"/>
        <v>43131</v>
      </c>
      <c r="C386" t="str">
        <f t="shared" ca="1" si="11"/>
        <v>месяц не закрыт</v>
      </c>
    </row>
    <row r="387" spans="1:3" x14ac:dyDescent="0.25">
      <c r="A387" s="5">
        <v>43121</v>
      </c>
      <c r="B387" s="5">
        <f t="shared" ref="B387:B397" si="12">EOMONTH(A387,0)</f>
        <v>43131</v>
      </c>
      <c r="C387" t="str">
        <f t="shared" ref="C387:C397" ca="1" si="13">IF((B387-$D$2)&lt;0,"месяц закрыт","месяц не закрыт")</f>
        <v>месяц не закрыт</v>
      </c>
    </row>
    <row r="388" spans="1:3" x14ac:dyDescent="0.25">
      <c r="A388" s="5">
        <v>43122</v>
      </c>
      <c r="B388" s="5">
        <f t="shared" si="12"/>
        <v>43131</v>
      </c>
      <c r="C388" t="str">
        <f t="shared" ca="1" si="13"/>
        <v>месяц не закрыт</v>
      </c>
    </row>
    <row r="389" spans="1:3" x14ac:dyDescent="0.25">
      <c r="A389" s="5">
        <v>43123</v>
      </c>
      <c r="B389" s="5">
        <f t="shared" si="12"/>
        <v>43131</v>
      </c>
      <c r="C389" t="str">
        <f t="shared" ca="1" si="13"/>
        <v>месяц не закрыт</v>
      </c>
    </row>
    <row r="390" spans="1:3" x14ac:dyDescent="0.25">
      <c r="A390" s="5">
        <v>43124</v>
      </c>
      <c r="B390" s="5">
        <f t="shared" si="12"/>
        <v>43131</v>
      </c>
      <c r="C390" t="str">
        <f t="shared" ca="1" si="13"/>
        <v>месяц не закрыт</v>
      </c>
    </row>
    <row r="391" spans="1:3" x14ac:dyDescent="0.25">
      <c r="A391" s="5">
        <v>43125</v>
      </c>
      <c r="B391" s="5">
        <f t="shared" si="12"/>
        <v>43131</v>
      </c>
      <c r="C391" t="str">
        <f t="shared" ca="1" si="13"/>
        <v>месяц не закрыт</v>
      </c>
    </row>
    <row r="392" spans="1:3" x14ac:dyDescent="0.25">
      <c r="A392" s="5">
        <v>43126</v>
      </c>
      <c r="B392" s="5">
        <f t="shared" si="12"/>
        <v>43131</v>
      </c>
      <c r="C392" t="str">
        <f t="shared" ca="1" si="13"/>
        <v>месяц не закрыт</v>
      </c>
    </row>
    <row r="393" spans="1:3" x14ac:dyDescent="0.25">
      <c r="A393" s="5">
        <v>43127</v>
      </c>
      <c r="B393" s="5">
        <f t="shared" si="12"/>
        <v>43131</v>
      </c>
      <c r="C393" t="str">
        <f t="shared" ca="1" si="13"/>
        <v>месяц не закрыт</v>
      </c>
    </row>
    <row r="394" spans="1:3" x14ac:dyDescent="0.25">
      <c r="A394" s="5">
        <v>43128</v>
      </c>
      <c r="B394" s="5">
        <f t="shared" si="12"/>
        <v>43131</v>
      </c>
      <c r="C394" t="str">
        <f t="shared" ca="1" si="13"/>
        <v>месяц не закрыт</v>
      </c>
    </row>
    <row r="395" spans="1:3" x14ac:dyDescent="0.25">
      <c r="A395" s="5">
        <v>43129</v>
      </c>
      <c r="B395" s="5">
        <f t="shared" si="12"/>
        <v>43131</v>
      </c>
      <c r="C395" t="str">
        <f t="shared" ca="1" si="13"/>
        <v>месяц не закрыт</v>
      </c>
    </row>
    <row r="396" spans="1:3" x14ac:dyDescent="0.25">
      <c r="A396" s="5">
        <v>43130</v>
      </c>
      <c r="B396" s="5">
        <f t="shared" si="12"/>
        <v>43131</v>
      </c>
      <c r="C396" t="str">
        <f t="shared" ca="1" si="13"/>
        <v>месяц не закрыт</v>
      </c>
    </row>
    <row r="397" spans="1:3" x14ac:dyDescent="0.25">
      <c r="A397" s="5">
        <v>43131</v>
      </c>
      <c r="B397" s="5">
        <f t="shared" si="12"/>
        <v>43131</v>
      </c>
      <c r="C397" t="str">
        <f t="shared" ca="1" si="13"/>
        <v>месяц не закрыт</v>
      </c>
    </row>
  </sheetData>
  <autoFilter ref="A1:D36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7030A0"/>
  </sheetPr>
  <dimension ref="A1:B65"/>
  <sheetViews>
    <sheetView zoomScale="85" zoomScaleNormal="85" workbookViewId="0">
      <pane ySplit="1" topLeftCell="A50" activePane="bottomLeft" state="frozen"/>
      <selection pane="bottomLeft" activeCell="B66" sqref="B66"/>
    </sheetView>
  </sheetViews>
  <sheetFormatPr defaultRowHeight="15" x14ac:dyDescent="0.25"/>
  <cols>
    <col min="1" max="1" width="21.5703125" style="23" customWidth="1"/>
    <col min="2" max="2" width="28.5703125" style="23" customWidth="1"/>
    <col min="3" max="16384" width="9.140625" style="23"/>
  </cols>
  <sheetData>
    <row r="1" spans="1:2" x14ac:dyDescent="0.25">
      <c r="A1" s="22" t="s">
        <v>149</v>
      </c>
      <c r="B1" s="22" t="s">
        <v>150</v>
      </c>
    </row>
    <row r="2" spans="1:2" x14ac:dyDescent="0.25">
      <c r="A2" s="24" t="s">
        <v>58</v>
      </c>
      <c r="B2" s="25" t="s">
        <v>151</v>
      </c>
    </row>
    <row r="3" spans="1:2" x14ac:dyDescent="0.25">
      <c r="A3" s="24" t="s">
        <v>49</v>
      </c>
      <c r="B3" s="25" t="s">
        <v>152</v>
      </c>
    </row>
    <row r="4" spans="1:2" x14ac:dyDescent="0.25">
      <c r="A4" s="24" t="s">
        <v>51</v>
      </c>
      <c r="B4" s="25" t="s">
        <v>153</v>
      </c>
    </row>
    <row r="5" spans="1:2" x14ac:dyDescent="0.25">
      <c r="A5" s="24" t="s">
        <v>36</v>
      </c>
      <c r="B5" s="25" t="s">
        <v>154</v>
      </c>
    </row>
    <row r="6" spans="1:2" x14ac:dyDescent="0.25">
      <c r="A6" s="24" t="s">
        <v>53</v>
      </c>
      <c r="B6" s="25" t="s">
        <v>151</v>
      </c>
    </row>
    <row r="7" spans="1:2" x14ac:dyDescent="0.25">
      <c r="A7" s="24" t="s">
        <v>24</v>
      </c>
      <c r="B7" s="25" t="s">
        <v>154</v>
      </c>
    </row>
    <row r="8" spans="1:2" x14ac:dyDescent="0.25">
      <c r="A8" s="24" t="s">
        <v>23</v>
      </c>
      <c r="B8" s="25" t="s">
        <v>154</v>
      </c>
    </row>
    <row r="9" spans="1:2" x14ac:dyDescent="0.25">
      <c r="A9" s="24" t="s">
        <v>37</v>
      </c>
      <c r="B9" s="25" t="s">
        <v>155</v>
      </c>
    </row>
    <row r="10" spans="1:2" x14ac:dyDescent="0.25">
      <c r="A10" s="24" t="s">
        <v>43</v>
      </c>
      <c r="B10" s="25" t="s">
        <v>155</v>
      </c>
    </row>
    <row r="11" spans="1:2" x14ac:dyDescent="0.25">
      <c r="A11" s="24" t="s">
        <v>32</v>
      </c>
      <c r="B11" s="25" t="s">
        <v>153</v>
      </c>
    </row>
    <row r="12" spans="1:2" x14ac:dyDescent="0.25">
      <c r="A12" s="24" t="s">
        <v>42</v>
      </c>
      <c r="B12" s="25" t="s">
        <v>155</v>
      </c>
    </row>
    <row r="13" spans="1:2" x14ac:dyDescent="0.25">
      <c r="A13" s="24" t="s">
        <v>33</v>
      </c>
      <c r="B13" s="25" t="s">
        <v>155</v>
      </c>
    </row>
    <row r="14" spans="1:2" x14ac:dyDescent="0.25">
      <c r="A14" s="24" t="s">
        <v>15</v>
      </c>
      <c r="B14" s="25" t="s">
        <v>151</v>
      </c>
    </row>
    <row r="15" spans="1:2" x14ac:dyDescent="0.25">
      <c r="A15" s="24" t="s">
        <v>18</v>
      </c>
      <c r="B15" s="25" t="s">
        <v>151</v>
      </c>
    </row>
    <row r="16" spans="1:2" x14ac:dyDescent="0.25">
      <c r="A16" s="24" t="s">
        <v>54</v>
      </c>
      <c r="B16" s="25" t="s">
        <v>156</v>
      </c>
    </row>
    <row r="17" spans="1:2" x14ac:dyDescent="0.25">
      <c r="A17" s="24" t="s">
        <v>44</v>
      </c>
      <c r="B17" s="25" t="s">
        <v>156</v>
      </c>
    </row>
    <row r="18" spans="1:2" x14ac:dyDescent="0.25">
      <c r="A18" s="24" t="s">
        <v>52</v>
      </c>
      <c r="B18" s="25" t="s">
        <v>151</v>
      </c>
    </row>
    <row r="19" spans="1:2" x14ac:dyDescent="0.25">
      <c r="A19" s="24" t="s">
        <v>8</v>
      </c>
      <c r="B19" s="25" t="s">
        <v>151</v>
      </c>
    </row>
    <row r="20" spans="1:2" x14ac:dyDescent="0.25">
      <c r="A20" s="24" t="s">
        <v>45</v>
      </c>
      <c r="B20" s="25" t="s">
        <v>156</v>
      </c>
    </row>
    <row r="21" spans="1:2" x14ac:dyDescent="0.25">
      <c r="A21" s="24" t="s">
        <v>12</v>
      </c>
      <c r="B21" s="25" t="s">
        <v>152</v>
      </c>
    </row>
    <row r="22" spans="1:2" x14ac:dyDescent="0.25">
      <c r="A22" s="24" t="s">
        <v>22</v>
      </c>
      <c r="B22" s="25" t="s">
        <v>151</v>
      </c>
    </row>
    <row r="23" spans="1:2" x14ac:dyDescent="0.25">
      <c r="A23" s="24" t="s">
        <v>7</v>
      </c>
      <c r="B23" s="25" t="s">
        <v>152</v>
      </c>
    </row>
    <row r="24" spans="1:2" x14ac:dyDescent="0.25">
      <c r="A24" s="24" t="s">
        <v>11</v>
      </c>
      <c r="B24" s="25" t="s">
        <v>152</v>
      </c>
    </row>
    <row r="25" spans="1:2" x14ac:dyDescent="0.25">
      <c r="A25" s="24" t="s">
        <v>50</v>
      </c>
      <c r="B25" s="25" t="s">
        <v>153</v>
      </c>
    </row>
    <row r="26" spans="1:2" x14ac:dyDescent="0.25">
      <c r="A26" s="24" t="s">
        <v>20</v>
      </c>
      <c r="B26" s="25" t="s">
        <v>153</v>
      </c>
    </row>
    <row r="27" spans="1:2" x14ac:dyDescent="0.25">
      <c r="A27" s="24" t="s">
        <v>21</v>
      </c>
      <c r="B27" s="25" t="s">
        <v>152</v>
      </c>
    </row>
    <row r="28" spans="1:2" x14ac:dyDescent="0.25">
      <c r="A28" s="24" t="s">
        <v>35</v>
      </c>
      <c r="B28" s="25" t="s">
        <v>151</v>
      </c>
    </row>
    <row r="29" spans="1:2" x14ac:dyDescent="0.25">
      <c r="A29" s="24" t="s">
        <v>14</v>
      </c>
      <c r="B29" s="25" t="s">
        <v>154</v>
      </c>
    </row>
    <row r="30" spans="1:2" x14ac:dyDescent="0.25">
      <c r="A30" s="24" t="s">
        <v>10</v>
      </c>
      <c r="B30" s="25" t="s">
        <v>156</v>
      </c>
    </row>
    <row r="31" spans="1:2" x14ac:dyDescent="0.25">
      <c r="A31" s="24" t="s">
        <v>60</v>
      </c>
      <c r="B31" s="25" t="s">
        <v>156</v>
      </c>
    </row>
    <row r="32" spans="1:2" x14ac:dyDescent="0.25">
      <c r="A32" s="24" t="s">
        <v>46</v>
      </c>
      <c r="B32" s="25" t="s">
        <v>151</v>
      </c>
    </row>
    <row r="33" spans="1:2" x14ac:dyDescent="0.25">
      <c r="A33" s="24" t="s">
        <v>29</v>
      </c>
      <c r="B33" s="25" t="s">
        <v>155</v>
      </c>
    </row>
    <row r="34" spans="1:2" x14ac:dyDescent="0.25">
      <c r="A34" s="24" t="s">
        <v>41</v>
      </c>
      <c r="B34" s="25" t="s">
        <v>153</v>
      </c>
    </row>
    <row r="35" spans="1:2" x14ac:dyDescent="0.25">
      <c r="A35" s="24" t="s">
        <v>19</v>
      </c>
      <c r="B35" s="25" t="s">
        <v>156</v>
      </c>
    </row>
    <row r="36" spans="1:2" x14ac:dyDescent="0.25">
      <c r="A36" s="24" t="s">
        <v>34</v>
      </c>
      <c r="B36" s="25" t="s">
        <v>154</v>
      </c>
    </row>
    <row r="37" spans="1:2" x14ac:dyDescent="0.25">
      <c r="A37" s="24" t="s">
        <v>61</v>
      </c>
      <c r="B37" s="25" t="s">
        <v>154</v>
      </c>
    </row>
    <row r="38" spans="1:2" x14ac:dyDescent="0.25">
      <c r="A38" s="24" t="s">
        <v>31</v>
      </c>
      <c r="B38" s="25" t="s">
        <v>155</v>
      </c>
    </row>
    <row r="39" spans="1:2" x14ac:dyDescent="0.25">
      <c r="A39" s="24" t="s">
        <v>28</v>
      </c>
      <c r="B39" s="25" t="s">
        <v>152</v>
      </c>
    </row>
    <row r="40" spans="1:2" x14ac:dyDescent="0.25">
      <c r="A40" s="24" t="s">
        <v>26</v>
      </c>
      <c r="B40" s="25" t="s">
        <v>156</v>
      </c>
    </row>
    <row r="41" spans="1:2" x14ac:dyDescent="0.25">
      <c r="A41" s="24" t="s">
        <v>55</v>
      </c>
      <c r="B41" s="25" t="s">
        <v>153</v>
      </c>
    </row>
    <row r="42" spans="1:2" x14ac:dyDescent="0.25">
      <c r="A42" s="24" t="s">
        <v>38</v>
      </c>
      <c r="B42" s="25" t="s">
        <v>153</v>
      </c>
    </row>
    <row r="43" spans="1:2" x14ac:dyDescent="0.25">
      <c r="A43" s="24" t="s">
        <v>48</v>
      </c>
      <c r="B43" s="25" t="s">
        <v>154</v>
      </c>
    </row>
    <row r="44" spans="1:2" x14ac:dyDescent="0.25">
      <c r="A44" s="24" t="s">
        <v>9</v>
      </c>
      <c r="B44" s="25" t="s">
        <v>152</v>
      </c>
    </row>
    <row r="45" spans="1:2" x14ac:dyDescent="0.25">
      <c r="A45" s="24" t="s">
        <v>13</v>
      </c>
      <c r="B45" s="25" t="s">
        <v>151</v>
      </c>
    </row>
    <row r="46" spans="1:2" x14ac:dyDescent="0.25">
      <c r="A46" s="24" t="s">
        <v>6</v>
      </c>
      <c r="B46" s="25" t="s">
        <v>155</v>
      </c>
    </row>
    <row r="47" spans="1:2" x14ac:dyDescent="0.25">
      <c r="A47" s="24" t="s">
        <v>17</v>
      </c>
      <c r="B47" s="25" t="s">
        <v>155</v>
      </c>
    </row>
    <row r="48" spans="1:2" x14ac:dyDescent="0.25">
      <c r="A48" s="24" t="s">
        <v>40</v>
      </c>
      <c r="B48" s="25" t="s">
        <v>156</v>
      </c>
    </row>
    <row r="49" spans="1:2" x14ac:dyDescent="0.25">
      <c r="A49" s="24" t="s">
        <v>5</v>
      </c>
      <c r="B49" s="25" t="s">
        <v>153</v>
      </c>
    </row>
    <row r="50" spans="1:2" x14ac:dyDescent="0.25">
      <c r="A50" s="24" t="s">
        <v>57</v>
      </c>
      <c r="B50" s="25" t="s">
        <v>156</v>
      </c>
    </row>
    <row r="51" spans="1:2" x14ac:dyDescent="0.25">
      <c r="A51" s="24" t="s">
        <v>16</v>
      </c>
      <c r="B51" s="25" t="s">
        <v>154</v>
      </c>
    </row>
    <row r="52" spans="1:2" x14ac:dyDescent="0.25">
      <c r="A52" s="24" t="s">
        <v>27</v>
      </c>
      <c r="B52" s="25" t="s">
        <v>152</v>
      </c>
    </row>
    <row r="53" spans="1:2" x14ac:dyDescent="0.25">
      <c r="A53" s="24" t="s">
        <v>47</v>
      </c>
      <c r="B53" s="25" t="s">
        <v>155</v>
      </c>
    </row>
    <row r="54" spans="1:2" x14ac:dyDescent="0.25">
      <c r="A54" s="24" t="s">
        <v>39</v>
      </c>
      <c r="B54" s="25" t="s">
        <v>155</v>
      </c>
    </row>
    <row r="55" spans="1:2" x14ac:dyDescent="0.25">
      <c r="A55" s="24" t="s">
        <v>62</v>
      </c>
      <c r="B55" s="25" t="s">
        <v>152</v>
      </c>
    </row>
    <row r="56" spans="1:2" x14ac:dyDescent="0.25">
      <c r="A56" s="24" t="s">
        <v>56</v>
      </c>
      <c r="B56" s="25" t="s">
        <v>154</v>
      </c>
    </row>
    <row r="57" spans="1:2" x14ac:dyDescent="0.25">
      <c r="A57" s="24" t="s">
        <v>4</v>
      </c>
      <c r="B57" s="25" t="s">
        <v>153</v>
      </c>
    </row>
    <row r="58" spans="1:2" x14ac:dyDescent="0.25">
      <c r="A58" s="24" t="s">
        <v>30</v>
      </c>
      <c r="B58" s="25" t="s">
        <v>153</v>
      </c>
    </row>
    <row r="59" spans="1:2" x14ac:dyDescent="0.25">
      <c r="A59" s="24" t="s">
        <v>59</v>
      </c>
      <c r="B59" s="25" t="s">
        <v>155</v>
      </c>
    </row>
    <row r="60" spans="1:2" x14ac:dyDescent="0.25">
      <c r="A60" s="24" t="s">
        <v>63</v>
      </c>
      <c r="B60" s="25" t="s">
        <v>156</v>
      </c>
    </row>
    <row r="62" spans="1:2" x14ac:dyDescent="0.25">
      <c r="A62" s="24" t="s">
        <v>25</v>
      </c>
      <c r="B62" s="25" t="s">
        <v>157</v>
      </c>
    </row>
    <row r="63" spans="1:2" x14ac:dyDescent="0.25">
      <c r="A63" s="39" t="s">
        <v>187</v>
      </c>
      <c r="B63" s="41" t="s">
        <v>191</v>
      </c>
    </row>
    <row r="64" spans="1:2" x14ac:dyDescent="0.25">
      <c r="A64" s="40" t="s">
        <v>189</v>
      </c>
      <c r="B64" s="41" t="s">
        <v>191</v>
      </c>
    </row>
    <row r="65" spans="1:2" x14ac:dyDescent="0.25">
      <c r="A65" s="40" t="s">
        <v>188</v>
      </c>
      <c r="B65" s="41" t="s">
        <v>191</v>
      </c>
    </row>
  </sheetData>
  <autoFilter ref="A1:B60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2:B4"/>
  <sheetViews>
    <sheetView workbookViewId="0">
      <selection activeCell="A3" sqref="A3"/>
    </sheetView>
  </sheetViews>
  <sheetFormatPr defaultRowHeight="15" x14ac:dyDescent="0.25"/>
  <cols>
    <col min="1" max="2" width="11.85546875" customWidth="1"/>
  </cols>
  <sheetData>
    <row r="2" spans="1:2" x14ac:dyDescent="0.25">
      <c r="A2" s="20" t="s">
        <v>80</v>
      </c>
      <c r="B2" s="21" t="s">
        <v>81</v>
      </c>
    </row>
    <row r="3" spans="1:2" x14ac:dyDescent="0.25">
      <c r="A3" s="19">
        <v>42005</v>
      </c>
      <c r="B3" s="19">
        <v>42369</v>
      </c>
    </row>
    <row r="4" spans="1:2" x14ac:dyDescent="0.25">
      <c r="A4" s="19" t="s">
        <v>102</v>
      </c>
      <c r="B4" s="19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Свод_план</vt:lpstr>
      <vt:lpstr>Свод_СУ</vt:lpstr>
      <vt:lpstr>Свод_метрика</vt:lpstr>
      <vt:lpstr>График_МАК_СУ</vt:lpstr>
      <vt:lpstr>График_Кураторы_СУ</vt:lpstr>
      <vt:lpstr>Источник</vt:lpstr>
      <vt:lpstr>Extra2</vt:lpstr>
      <vt:lpstr>Curators</vt:lpstr>
      <vt:lpstr>Dates_Lists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Ребенок Диана Андреевна</dc:creator>
  <cp:lastModifiedBy>Ребенок Диана Андреевна</cp:lastModifiedBy>
  <dcterms:created xsi:type="dcterms:W3CDTF">2006-09-16T00:00:00Z</dcterms:created>
  <dcterms:modified xsi:type="dcterms:W3CDTF">2018-01-25T10:50:10Z</dcterms:modified>
</cp:coreProperties>
</file>