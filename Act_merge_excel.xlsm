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Usman\Documents\UsmanDocs\MyWork\automated_document_multiplier\"/>
    </mc:Choice>
  </mc:AlternateContent>
  <bookViews>
    <workbookView xWindow="0" yWindow="0" windowWidth="22260" windowHeight="12645"/>
  </bookViews>
  <sheets>
    <sheet name="MergeFields" sheetId="1" r:id="rId1"/>
    <sheet name="Числа_прописью" sheetId="2" r:id="rId2"/>
  </sheets>
  <functionGroups builtInGroupCount="18"/>
  <definedNames>
    <definedName name="n_1">{"","одинz","дваz","триz","четыреz","пятьz","шестьz","семьz","восемьz","девятьz"}</definedName>
    <definedName name="n_2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3">{"";1;"двадцатьz";"тридцатьz";"сорокz";"пятьдесятz";"шестьдесятz";"семьдесятz";"восемьдесятz";"девяностоz"}</definedName>
    <definedName name="n_4">{"","стоz","двестиz","тристаz","четырестаz","пятьсотz","шестьсотz","семьсотz","восемьсотz","девятьсотz"}</definedName>
    <definedName name="n_5">{"","однаz","двеz","триz","четыреz","пятьz","шестьz","семьz","восемьz","девятьz"}</definedName>
    <definedName name="n0">"000000000000"&amp;MID(1/2,2,1)&amp;"0#####"</definedName>
    <definedName name="n0x">IF(n_3=1,n_2,n_3&amp;n_1)</definedName>
    <definedName name="n1x">IF(n_3=1,n_2,n_3&amp;n_5)</definedName>
    <definedName name="доля">{"десятая","десятых";"сотая","сотых";"тысячная","тысячных";"десятитысячная","десятитысячных";"стотысячная","стотысячных";"миллионная ","миллионных"}</definedName>
    <definedName name="мил">{0,"овz";1,"z";2,"аz";5,"овz"}</definedName>
    <definedName name="тыс">{0,"тысячz";1,"тысячаz";2,"тысячиz";5,"тысячz"}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1" l="1"/>
  <c r="P6" i="1"/>
  <c r="O6" i="1"/>
  <c r="S6" i="1" s="1"/>
  <c r="K6" i="1"/>
  <c r="G6" i="1"/>
  <c r="Q5" i="1"/>
  <c r="P5" i="1"/>
  <c r="O5" i="1"/>
  <c r="S5" i="1" s="1"/>
  <c r="K5" i="1"/>
  <c r="G5" i="1"/>
  <c r="Q4" i="1"/>
  <c r="P4" i="1"/>
  <c r="O4" i="1"/>
  <c r="S4" i="1" s="1"/>
  <c r="K4" i="1"/>
  <c r="G4" i="1"/>
  <c r="Q3" i="1"/>
  <c r="P3" i="1"/>
  <c r="O3" i="1"/>
  <c r="S3" i="1" s="1"/>
  <c r="K3" i="1"/>
  <c r="G3" i="1"/>
  <c r="H6" i="1"/>
  <c r="L6" i="1"/>
  <c r="L5" i="1"/>
  <c r="H5" i="1"/>
  <c r="L4" i="1"/>
  <c r="H4" i="1"/>
  <c r="H3" i="1"/>
  <c r="L3" i="1"/>
  <c r="R6" i="1" l="1"/>
  <c r="R5" i="1"/>
  <c r="R4" i="1"/>
  <c r="R3" i="1"/>
  <c r="K2" i="1"/>
  <c r="G2" i="1"/>
  <c r="B34" i="2"/>
  <c r="B32" i="2"/>
  <c r="A29" i="2"/>
  <c r="B29" i="2" s="1"/>
  <c r="A28" i="2"/>
  <c r="B28" i="2" s="1"/>
  <c r="A27" i="2"/>
  <c r="B27" i="2" s="1"/>
  <c r="A26" i="2"/>
  <c r="B26" i="2" s="1"/>
  <c r="A25" i="2"/>
  <c r="B25" i="2" s="1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3" i="2"/>
  <c r="Q2" i="1"/>
  <c r="P2" i="1"/>
  <c r="O2" i="1"/>
  <c r="R2" i="1" s="1"/>
  <c r="H2" i="1"/>
  <c r="L2" i="1"/>
  <c r="S2" i="1" l="1"/>
</calcChain>
</file>

<file path=xl/sharedStrings.xml><?xml version="1.0" encoding="utf-8"?>
<sst xmlns="http://schemas.openxmlformats.org/spreadsheetml/2006/main" count="96" uniqueCount="59">
  <si>
    <t>Agreement_date_month</t>
  </si>
  <si>
    <t>Agreement_date_year</t>
  </si>
  <si>
    <t>Agreement_city</t>
  </si>
  <si>
    <t>Principal_FIO</t>
  </si>
  <si>
    <t>Doverennost</t>
  </si>
  <si>
    <t>Agent_FIO</t>
  </si>
  <si>
    <t>Agent_passport_num</t>
  </si>
  <si>
    <t>Agent_passport_issue</t>
  </si>
  <si>
    <t>Agent_service_date_from</t>
  </si>
  <si>
    <t>Agent_service_date_to</t>
  </si>
  <si>
    <t>Agent_Agreement_number</t>
  </si>
  <si>
    <t>Agent_Agreement_date_day</t>
  </si>
  <si>
    <t>622/123</t>
  </si>
  <si>
    <t>01</t>
  </si>
  <si>
    <t>января</t>
  </si>
  <si>
    <t>Москва</t>
  </si>
  <si>
    <t>Акулов Акул Акулевич</t>
  </si>
  <si>
    <t>доверенности</t>
  </si>
  <si>
    <t>Баранов Баран Баранович</t>
  </si>
  <si>
    <t>123145/6789</t>
  </si>
  <si>
    <t>ФМС №1</t>
  </si>
  <si>
    <t>Agent_sum_1_text</t>
  </si>
  <si>
    <t>ЧИСЛО ПРОПИСЬЮ</t>
  </si>
  <si>
    <t>Константы:</t>
  </si>
  <si>
    <t>Случайные числа:</t>
  </si>
  <si>
    <t>Формула РУС:</t>
  </si>
  <si>
    <t>=ПОДСТАВИТЬ(ПРОПНАЧ(ИНДЕКС(n_4;ПСТР(ТЕКСТ(A1;n0);1;1)+1)&amp;ИНДЕКС(n0x;ПСТР(ТЕКСТ(A1;n0);2;1)+1;ПСТР(ТЕКСТ(A1;n0);3;1)+1)&amp;ЕСЛИ(-ПСТР(ТЕКСТ(A1;n0);1;3);"миллиард"&amp;ВПР(ПСТР(ТЕКСТ(A1;n0);3;1)*И(ПСТР(ТЕКСТ(A1;n0);2;1)-1);мил;2);"")&amp;ИНДЕКС(n_4;ПСТР(ТЕКСТ(A1;n0);4;1)+1)&amp;ИНДЕКС(n0x;ПСТР(ТЕКСТ(A1;n0);5;1)+1;ПСТР(ТЕКСТ(A1;n0);6;1)+1)&amp;ЕСЛИ(-ПСТР(ТЕКСТ(A1;n0);4;3);"миллион"&amp;ВПР(ПСТР(ТЕКСТ(A1;n0);6;1)*И(ПСТР(ТЕКСТ(A1;n0);5;1)-1);мил;2);"")&amp;ИНДЕКС(n_4;ПСТР(ТЕКСТ(A1;n0);7;1)+1)&amp;ИНДЕКС(n1x;ПСТР(ТЕКСТ(A1;n0);8;1)+1;ПСТР(ТЕКСТ(A1;n0);9;1)+1)&amp;ЕСЛИ(-ПСТР(ТЕКСТ(A1;n0);7;3);ВПР(ПСТР(ТЕКСТ(A1;n0);9;1)*И(ПСТР(ТЕКСТ(A1;n0);8;1)-1);тыс;2);"")&amp;ИНДЕКС(n_4;ПСТР(ТЕКСТ(A1;n0);10;1)+1)&amp;ИНДЕКС(ЕСЛИ(-ПСТР(ТЕКСТ(A1;n0);14;6);n1x;n0x);ПСТР(ТЕКСТ(A1;n0);11;1)+1;ПСТР(ТЕКСТ(A1;n0);12;1)+1));"z";" ")&amp;ЕСЛИ(ОТБР(ТЕКСТ(A1;n0));;"Ноль ")&amp;ЕСЛИ(-ПСТР(ТЕКСТ(A1;n0);14;6);ЕСЛИ(ОСТАТ(МАКС(ОСТАТ(ПСТР(ТЕКСТ(A1;n0);11;2)-11;100);9);10);"целых ";"целая ")&amp;ПОДСТАВИТЬ(ИНДЕКС(n_4;ПСТР(ТЕКСТ(A1;n0);14;6)/10^5+1)&amp;ИНДЕКС(n1x;ОСТАТ(ПСТР(ТЕКСТ(A1;n0);14;6)/10^4;10)+1;ОСТАТ(ПСТР(ТЕКСТ(A1;n0);14;6)/1000;10)+1)&amp;ЕСЛИ(ЦЕЛОЕ(ПСТР(ТЕКСТ(A1;n0);14;6)/1000);ВПР(ОСТАТ(ПСТР(ТЕКСТ(A1;n0);14;6)/1000;10)*(ОСТАТ(ЦЕЛОЕ(ПСТР(ТЕКСТ(A1;n0);14;6)/10^4);10)&lt;&gt;1);тыс;2);"")&amp;ИНДЕКС(n_4;ОСТАТ(ПСТР(ТЕКСТ(A1;n0);14;6)/100;10)+1)&amp;ИНДЕКС(n1x;ОСТАТ(ПСТР(ТЕКСТ(A1;n0);14;6)/10;10)+1;ОСТАТ(ПСТР(ТЕКСТ(A1;n0);14;6);10)+1);"z";" ")&amp;ИНДЕКС(доля;ДЛСТР(ПСТР(ТЕКСТ(A1;n0);14;6));(ОСТАТ(МАКС(ОСТАТ(ПСТР(ТЕКСТ(A1;n0);14;6)-11;100);9);10)&gt;0)+1);)</t>
  </si>
  <si>
    <t>Длина:</t>
  </si>
  <si>
    <t>Формула ENG:</t>
  </si>
  <si>
    <t>=SUBSTITUTE(PROPER(INDEX(n_4,MID(TEXT(A1,n0),1,1)+1)&amp;INDEX(n0x,MID(TEXT(A1,n0),2,1)+1,MID(TEXT(A1,n0),3,1)+1)&amp;IF(-MID(TEXT(A1,n0),1,3),"миллиард"&amp;VLOOKUP(MID(TEXT(A1,n0),3,1)*AND(MID(TEXT(A1,n0),2,1)-1),мил,2),"")&amp;INDEX(n_4,MID(TEXT(A1,n0),4,1)+1)&amp;INDEX(n0x,MID(TEXT(A1,n0),5,1)+1,MID(TEXT(A1,n0),6,1)+1)&amp;IF(-MID(TEXT(A1,n0),4,3),"миллион"&amp;VLOOKUP(MID(TEXT(A1,n0),6,1)*AND(MID(TEXT(A1,n0),5,1)-1),мил,2),"")&amp;INDEX(n_4,MID(TEXT(A1,n0),7,1)+1)&amp;INDEX(n1x,MID(TEXT(A1,n0),8,1)+1,MID(TEXT(A1,n0),9,1)+1)&amp;IF(-MID(TEXT(A1,n0),7,3),VLOOKUP(MID(TEXT(A1,n0),9,1)*AND(MID(TEXT(A1,n0),8,1)-1),тыс,2),"")&amp;INDEX(n_4,MID(TEXT(A1,n0),10,1)+1)&amp;INDEX(IF(-MID(TEXT(A1,n0),14,6),n1x,n0x),MID(TEXT(A1,n0),11,1)+1,MID(TEXT(A1,n0),12,1)+1)),"z"," ")&amp;IF(TRUNC(TEXT(A1,n0)),,"Ноль ")&amp;IF(-MID(TEXT(A1,n0),14,6),IF(MOD(MAX(MOD(MID(TEXT(A1,n0),11,2)-11,100),9),10),"целых ","целая ")&amp;SUBSTITUTE(INDEX(n_4,MID(TEXT(A1,n0),14,6)/10^5+1)&amp;INDEX(n1x,MOD(MID(TEXT(A1,n0),14,6)/10^4,10)+1,MOD(MID(TEXT(A1,n0),14,6)/1000,10)+1)&amp;IF(INT(MID(TEXT(A1,n0),14,6)/1000),VLOOKUP(MOD(MID(TEXT(A1,n0),14,6)/1000,10)*(MOD(INT(MID(TEXT(A1,n0),14,6)/10^4),10)&lt;&gt;1),тыс,2),"")&amp;INDEX(n_4,MOD(MID(TEXT(A1,n0),14,6)/100,10)+1)&amp;INDEX(n1x,MOD(MID(TEXT(A1,n0),14,6)/10,10)+1,MOD(MID(TEXT(A1,n0),14,6),10)+1),"z"," ")&amp;INDEX(доля,LEN(MID(TEXT(A1,n0),14,6)),(MOD(MAX(MOD(MID(TEXT(A1,n0),14,6)-11,100),9),10)&gt;0)+1),)</t>
  </si>
  <si>
    <t>Имена:</t>
  </si>
  <si>
    <t>n_1</t>
  </si>
  <si>
    <t>={"";"одинz";"дваz";"триz";"четыреz";"пятьz";"шестьz";"семьz";"восемьz";"девятьz"}</t>
  </si>
  <si>
    <t>n_2</t>
  </si>
  <si>
    <t>={"десятьz";"одиннадцатьz";"двенадцатьz";"тринадцатьz";"четырнадцатьz";"пятнадцатьz";"шестнадцатьz";"семнадцатьz";"восемнадцатьz";"девятнадцатьz"}</t>
  </si>
  <si>
    <t>n_3</t>
  </si>
  <si>
    <t>={"":1:"двадцатьz":"тридцатьz":"сорокz":"пятьдесятz":"шестьдесятz":"семьдесятz":"восемьдесятz":"девяностоz"}</t>
  </si>
  <si>
    <t>n_4</t>
  </si>
  <si>
    <t>={"";"стоz";"двестиz";"тристаz";"четырестаz";"пятьсотz";"шестьсотz";"семьсотz";"восемьсотz";"девятьсотz"}</t>
  </si>
  <si>
    <t>n_5</t>
  </si>
  <si>
    <t>={"";"однаz";"двеz";"триz";"четыреz";"пятьz";"шестьz";"семьz";"восемьz";"девятьz"}</t>
  </si>
  <si>
    <t>n0</t>
  </si>
  <si>
    <t>="000000000000"&amp;ПСТР(1/2;2;1)&amp;"0#####"</t>
  </si>
  <si>
    <t>n0x</t>
  </si>
  <si>
    <t>=ЕСЛИ(n_3=1;n_2;n_3&amp;n_1)</t>
  </si>
  <si>
    <t>n1x</t>
  </si>
  <si>
    <t>=ЕСЛИ(n_3=1;n_2;n_3&amp;n_5)</t>
  </si>
  <si>
    <t>доля</t>
  </si>
  <si>
    <t>={"десятая";"десятых":"сотая";"сотых":"тысячная";"тысячных":"десятитысячная";"десятитысячных":"стотысячная";"стотысячных":"миллионная ";"миллионных"}</t>
  </si>
  <si>
    <t>мил</t>
  </si>
  <si>
    <t>={0;"овz":1;"z":2;"аz":5;"овz"}</t>
  </si>
  <si>
    <t>тыс</t>
  </si>
  <si>
    <t>={0;"тысячz":1;"тысячаz":2;"тысячиz":5;"тысячz"}</t>
  </si>
  <si>
    <t>Principal_FIO_short</t>
  </si>
  <si>
    <t>Agent_FIO_short</t>
  </si>
  <si>
    <t>Principal_FIO_rod</t>
  </si>
  <si>
    <t>Agent_FIO_rod</t>
  </si>
  <si>
    <t>Agent_sum_1_word</t>
  </si>
  <si>
    <t>Agent_sum_1_kop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</si>
</sst>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#############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4"/>
      <name val="Arial"/>
      <family val="2"/>
    </font>
    <font>
      <sz val="8"/>
      <name val="Arial"/>
      <family val="2"/>
    </font>
    <font>
      <i/>
      <sz val="10"/>
      <name val="Arial"/>
      <family val="2"/>
      <charset val="204"/>
    </font>
    <font>
      <b/>
      <sz val="1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14" fontId="0" fillId="0" borderId="0" xfId="0" applyNumberFormat="1"/>
    <xf numFmtId="0" fontId="1" fillId="2" borderId="0" xfId="0" applyFont="1" applyFill="1"/>
    <xf numFmtId="49" fontId="0" fillId="0" borderId="0" xfId="0" quotePrefix="1" applyNumberFormat="1"/>
    <xf numFmtId="0" fontId="3" fillId="0" borderId="0" xfId="1" applyFont="1"/>
    <xf numFmtId="0" fontId="2" fillId="0" borderId="0" xfId="1" quotePrefix="1" applyFont="1"/>
    <xf numFmtId="0" fontId="4" fillId="0" borderId="0" xfId="1" applyFont="1"/>
    <xf numFmtId="0" fontId="5" fillId="0" borderId="0" xfId="1" applyFont="1"/>
    <xf numFmtId="164" fontId="2" fillId="0" borderId="0" xfId="1" applyNumberFormat="1"/>
    <xf numFmtId="0" fontId="2" fillId="0" borderId="0" xfId="1"/>
    <xf numFmtId="0" fontId="6" fillId="0" borderId="0" xfId="1" applyFont="1"/>
    <xf numFmtId="4" fontId="2" fillId="0" borderId="0" xfId="1" applyNumberFormat="1"/>
    <xf numFmtId="4" fontId="6" fillId="0" borderId="0" xfId="1" applyNumberFormat="1" applyFont="1"/>
    <xf numFmtId="0" fontId="2" fillId="0" borderId="0" xfId="1" quotePrefix="1" applyFont="1" applyAlignment="1"/>
    <xf numFmtId="0" fontId="2" fillId="0" borderId="0" xfId="1" applyAlignment="1"/>
    <xf numFmtId="0" fontId="2" fillId="0" borderId="0" xfId="1" applyNumberFormat="1"/>
    <xf numFmtId="0" fontId="2" fillId="0" borderId="0" xfId="1" quotePrefix="1" applyNumberFormat="1"/>
    <xf numFmtId="0" fontId="2" fillId="0" borderId="0" xfId="1" quotePrefix="1"/>
  </cellXfs>
  <cellStyles count="2">
    <cellStyle name="Обычный" xfId="0" builtinId="0"/>
    <cellStyle name="Обычный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6"/>
  <sheetViews>
    <sheetView tabSelected="1" zoomScale="115" zoomScaleNormal="11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5.85546875" bestFit="1" customWidth="1"/>
    <col min="2" max="2" width="27" bestFit="1" customWidth="1"/>
    <col min="3" max="3" width="23.28515625" bestFit="1" customWidth="1"/>
    <col min="4" max="4" width="21.140625" bestFit="1" customWidth="1"/>
    <col min="5" max="5" width="15.28515625" bestFit="1" customWidth="1"/>
    <col min="6" max="6" width="22" bestFit="1" customWidth="1"/>
    <col min="7" max="7" width="18.5703125" bestFit="1" customWidth="1"/>
    <col min="8" max="8" width="25" bestFit="1" customWidth="1"/>
    <col min="9" max="9" width="14.140625" bestFit="1" customWidth="1"/>
    <col min="10" max="10" width="25" bestFit="1" customWidth="1"/>
    <col min="11" max="11" width="16" bestFit="1" customWidth="1"/>
    <col min="12" max="12" width="28.140625" bestFit="1" customWidth="1"/>
    <col min="13" max="13" width="20.140625" bestFit="1" customWidth="1"/>
    <col min="14" max="14" width="20.7109375" bestFit="1" customWidth="1"/>
    <col min="15" max="15" width="17.85546875" bestFit="1" customWidth="1"/>
    <col min="16" max="16" width="24.28515625" bestFit="1" customWidth="1"/>
    <col min="17" max="17" width="21.85546875" bestFit="1" customWidth="1"/>
    <col min="18" max="18" width="18.85546875" bestFit="1" customWidth="1"/>
    <col min="19" max="19" width="17.5703125" bestFit="1" customWidth="1"/>
  </cols>
  <sheetData>
    <row r="1" spans="1:19" x14ac:dyDescent="0.25">
      <c r="A1" s="2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53</v>
      </c>
      <c r="H1" s="2" t="s">
        <v>55</v>
      </c>
      <c r="I1" s="2" t="s">
        <v>4</v>
      </c>
      <c r="J1" s="2" t="s">
        <v>5</v>
      </c>
      <c r="K1" s="2" t="s">
        <v>54</v>
      </c>
      <c r="L1" s="2" t="s">
        <v>56</v>
      </c>
      <c r="M1" s="2" t="s">
        <v>6</v>
      </c>
      <c r="N1" s="2" t="s">
        <v>7</v>
      </c>
      <c r="O1" s="2" t="s">
        <v>21</v>
      </c>
      <c r="P1" s="2" t="s">
        <v>8</v>
      </c>
      <c r="Q1" s="2" t="s">
        <v>9</v>
      </c>
      <c r="R1" s="2" t="s">
        <v>57</v>
      </c>
      <c r="S1" s="2" t="s">
        <v>58</v>
      </c>
    </row>
    <row r="2" spans="1:19" x14ac:dyDescent="0.25">
      <c r="A2" t="s">
        <v>12</v>
      </c>
      <c r="B2" s="3" t="s">
        <v>13</v>
      </c>
      <c r="C2" s="3" t="s">
        <v>14</v>
      </c>
      <c r="D2">
        <v>2016</v>
      </c>
      <c r="E2" t="s">
        <v>15</v>
      </c>
      <c r="F2" t="s">
        <v>16</v>
      </c>
      <c r="G2" t="str">
        <f>MID(F2,1,SEARCH(" ",F2)-1)&amp;" "&amp;MID(F2,SEARCH(" ",F2)+1,1)&amp;"."&amp;MID(F2,SEARCH(" ",F2,SEARCH(" ",F2)+1)+1,1)&amp;"."</f>
        <v>Акулов А.А.</v>
      </c>
      <c r="H2" t="str">
        <f>GenitiveCaseInCell1(F2)</f>
        <v>Акулова Акула Акулевича</v>
      </c>
      <c r="I2" t="s">
        <v>17</v>
      </c>
      <c r="J2" t="s">
        <v>18</v>
      </c>
      <c r="K2" t="str">
        <f>MID(J2,1,SEARCH(" ",J2)-1)&amp;" "&amp;MID(J2,SEARCH(" ",J2)+1,1)&amp;"."&amp;MID(J2,SEARCH(" ",J2,SEARCH(" ",J2)+1)+1,1)&amp;"."</f>
        <v>Баранов Б.Б.</v>
      </c>
      <c r="L2" t="str">
        <f>GenitiveCaseInCell1(J2)</f>
        <v>Баранова Барана Барановича</v>
      </c>
      <c r="M2" t="s">
        <v>19</v>
      </c>
      <c r="N2" t="s">
        <v>20</v>
      </c>
      <c r="O2" t="str">
        <f>TEXT(100000,"## ###,00")</f>
        <v>100 000,00</v>
      </c>
      <c r="P2" s="1" t="str">
        <f>TEXT("01.12.2016","ДД.ММ.ГГГГ")</f>
        <v>01.12.2016</v>
      </c>
      <c r="Q2" t="str">
        <f>TEXT("31.12.2016","ДД.ММ.ГГГГ")</f>
        <v>31.12.2016</v>
      </c>
      <c r="R2" t="str">
        <f>SUBSTITUTE(LOWER(INDEX(n_4,MID(TEXT(O2,n0),1,1)+1)&amp;INDEX(n0x,MID(TEXT(O2,n0),2,1)+1,MID(TEXT(O2,n0),3,1)+1)&amp;IF(-MID(TEXT(O2,n0),1,3),"миллиард"&amp;VLOOKUP(MID(TEXT(O2,n0),3,1)*AND(MID(TEXT(O2,n0),2,1)-1),мил,2),"")&amp;INDEX(n_4,MID(TEXT(O2,n0),4,1)+1)&amp;INDEX(n0x,MID(TEXT(O2,n0),5,1)+1,MID(TEXT(O2,n0),6,1)+1)&amp;IF(-MID(TEXT(O2,n0),4,3),"миллион"&amp;VLOOKUP(MID(TEXT(O2,n0),6,1)*AND(MID(TEXT(O2,n0),5,1)-1),мил,2),"")&amp;INDEX(n_4,MID(TEXT(O2,n0),7,1)+1)&amp;INDEX(n1x,MID(TEXT(O2,n0),8,1)+1,MID(TEXT(O2,n0),9,1)+1)&amp;IF(-MID(TEXT(O2,n0),7,3),VLOOKUP(MID(TEXT(O2,n0),9,1)*AND(MID(TEXT(O2,n0),8,1)-1),тыс,2),"")&amp;INDEX(n_4,MID(TEXT(O2,n0),10,1)+1)&amp;INDEX(IF(-MID(TEXT(O2,n0),14,6),n1x,n0x),MID(TEXT(O2,n0),11,1)+1,MID(TEXT(O2,n0),12,1)+1)),"z"," ")&amp;IF(TRUNC(TEXT(O2,n0)),,"Ноль ")&amp;IF(-MID(TEXT(O2,n0),14,6),IF(MOD(MAX(MOD(MID(TEXT(O2,n0),11,2)-11,100),9),10),"целых ","целая ")&amp;SUBSTITUTE(INDEX(n_4,MID(TEXT(O2,n0),14,6)/10^5+1)&amp;INDEX(n1x,MOD(MID(TEXT(O2,n0),14,6)/10^4,10)+1,MOD(MID(TEXT(O2,n0),14,6)/1000,10)+1)&amp;IF(INT(MID(TEXT(O2,n0),14,6)/1000),VLOOKUP(MOD(MID(TEXT(O2,n0),14,6)/1000,10)*(MOD(INT(MID(TEXT(O2,n0),14,6)/10^4),10)&lt;&gt;1),тыс,2),"")&amp;INDEX(n_4,MOD(MID(TEXT(O2,n0),14,6)/100,10)+1)&amp;INDEX(n1x,MOD(MID(TEXT(O2,n0),14,6)/10,10)+1,MOD(MID(TEXT(O2,n0),14,6),10)+1),"z"," ")&amp;INDEX(доля,LEN(MID(TEXT(O2,n0),14,6)),(MOD(MAX(MOD(MID(TEXT(O2,n0),14,6)-11,100),9),10)&gt;0)+1),)</f>
        <v xml:space="preserve">сто тысяч </v>
      </c>
      <c r="S2" t="str">
        <f>RIGHT(O2,2)</f>
        <v>00</v>
      </c>
    </row>
    <row r="3" spans="1:19" x14ac:dyDescent="0.25">
      <c r="A3" t="s">
        <v>12</v>
      </c>
      <c r="B3" s="3" t="s">
        <v>13</v>
      </c>
      <c r="C3" s="3" t="s">
        <v>14</v>
      </c>
      <c r="D3">
        <v>2016</v>
      </c>
      <c r="E3" t="s">
        <v>15</v>
      </c>
      <c r="F3" t="s">
        <v>16</v>
      </c>
      <c r="G3" t="str">
        <f>MID(F3,1,SEARCH(" ",F3)-1)&amp;" "&amp;MID(F3,SEARCH(" ",F3)+1,1)&amp;"."&amp;MID(F3,SEARCH(" ",F3,SEARCH(" ",F3)+1)+1,1)&amp;"."</f>
        <v>Акулов А.А.</v>
      </c>
      <c r="H3" t="str">
        <f>GenitiveCaseInCell1(F3)</f>
        <v>Акулова Акула Акулевича</v>
      </c>
      <c r="I3" t="s">
        <v>17</v>
      </c>
      <c r="J3" t="s">
        <v>18</v>
      </c>
      <c r="K3" t="str">
        <f>MID(J3,1,SEARCH(" ",J3)-1)&amp;" "&amp;MID(J3,SEARCH(" ",J3)+1,1)&amp;"."&amp;MID(J3,SEARCH(" ",J3,SEARCH(" ",J3)+1)+1,1)&amp;"."</f>
        <v>Баранов Б.Б.</v>
      </c>
      <c r="L3" t="str">
        <f>GenitiveCaseInCell1(J3)</f>
        <v>Баранова Барана Барановича</v>
      </c>
      <c r="M3" t="s">
        <v>19</v>
      </c>
      <c r="N3" t="s">
        <v>20</v>
      </c>
      <c r="O3" t="str">
        <f>TEXT(100000,"## ###,00")</f>
        <v>100 000,00</v>
      </c>
      <c r="P3" s="1" t="str">
        <f>TEXT("01.12.2016","ДД.ММ.ГГГГ")</f>
        <v>01.12.2016</v>
      </c>
      <c r="Q3" t="str">
        <f>TEXT("31.12.2016","ДД.ММ.ГГГГ")</f>
        <v>31.12.2016</v>
      </c>
      <c r="R3" t="str">
        <f>SUBSTITUTE(LOWER(INDEX(n_4,MID(TEXT(O3,n0),1,1)+1)&amp;INDEX(n0x,MID(TEXT(O3,n0),2,1)+1,MID(TEXT(O3,n0),3,1)+1)&amp;IF(-MID(TEXT(O3,n0),1,3),"миллиард"&amp;VLOOKUP(MID(TEXT(O3,n0),3,1)*AND(MID(TEXT(O3,n0),2,1)-1),мил,2),"")&amp;INDEX(n_4,MID(TEXT(O3,n0),4,1)+1)&amp;INDEX(n0x,MID(TEXT(O3,n0),5,1)+1,MID(TEXT(O3,n0),6,1)+1)&amp;IF(-MID(TEXT(O3,n0),4,3),"миллион"&amp;VLOOKUP(MID(TEXT(O3,n0),6,1)*AND(MID(TEXT(O3,n0),5,1)-1),мил,2),"")&amp;INDEX(n_4,MID(TEXT(O3,n0),7,1)+1)&amp;INDEX(n1x,MID(TEXT(O3,n0),8,1)+1,MID(TEXT(O3,n0),9,1)+1)&amp;IF(-MID(TEXT(O3,n0),7,3),VLOOKUP(MID(TEXT(O3,n0),9,1)*AND(MID(TEXT(O3,n0),8,1)-1),тыс,2),"")&amp;INDEX(n_4,MID(TEXT(O3,n0),10,1)+1)&amp;INDEX(IF(-MID(TEXT(O3,n0),14,6),n1x,n0x),MID(TEXT(O3,n0),11,1)+1,MID(TEXT(O3,n0),12,1)+1)),"z"," ")&amp;IF(TRUNC(TEXT(O3,n0)),,"Ноль ")&amp;IF(-MID(TEXT(O3,n0),14,6),IF(MOD(MAX(MOD(MID(TEXT(O3,n0),11,2)-11,100),9),10),"целых ","целая ")&amp;SUBSTITUTE(INDEX(n_4,MID(TEXT(O3,n0),14,6)/10^5+1)&amp;INDEX(n1x,MOD(MID(TEXT(O3,n0),14,6)/10^4,10)+1,MOD(MID(TEXT(O3,n0),14,6)/1000,10)+1)&amp;IF(INT(MID(TEXT(O3,n0),14,6)/1000),VLOOKUP(MOD(MID(TEXT(O3,n0),14,6)/1000,10)*(MOD(INT(MID(TEXT(O3,n0),14,6)/10^4),10)&lt;&gt;1),тыс,2),"")&amp;INDEX(n_4,MOD(MID(TEXT(O3,n0),14,6)/100,10)+1)&amp;INDEX(n1x,MOD(MID(TEXT(O3,n0),14,6)/10,10)+1,MOD(MID(TEXT(O3,n0),14,6),10)+1),"z"," ")&amp;INDEX(доля,LEN(MID(TEXT(O3,n0),14,6)),(MOD(MAX(MOD(MID(TEXT(O3,n0),14,6)-11,100),9),10)&gt;0)+1),)</f>
        <v xml:space="preserve">сто тысяч </v>
      </c>
      <c r="S3" t="str">
        <f>RIGHT(O3,2)</f>
        <v>00</v>
      </c>
    </row>
    <row r="4" spans="1:19" x14ac:dyDescent="0.25">
      <c r="A4" t="s">
        <v>12</v>
      </c>
      <c r="B4" s="3" t="s">
        <v>13</v>
      </c>
      <c r="C4" s="3" t="s">
        <v>14</v>
      </c>
      <c r="D4">
        <v>2016</v>
      </c>
      <c r="E4" t="s">
        <v>15</v>
      </c>
      <c r="F4" t="s">
        <v>16</v>
      </c>
      <c r="G4" t="str">
        <f>MID(F4,1,SEARCH(" ",F4)-1)&amp;" "&amp;MID(F4,SEARCH(" ",F4)+1,1)&amp;"."&amp;MID(F4,SEARCH(" ",F4,SEARCH(" ",F4)+1)+1,1)&amp;"."</f>
        <v>Акулов А.А.</v>
      </c>
      <c r="H4" t="str">
        <f>GenitiveCaseInCell1(F4)</f>
        <v>Акулова Акула Акулевича</v>
      </c>
      <c r="I4" t="s">
        <v>17</v>
      </c>
      <c r="J4" t="s">
        <v>18</v>
      </c>
      <c r="K4" t="str">
        <f>MID(J4,1,SEARCH(" ",J4)-1)&amp;" "&amp;MID(J4,SEARCH(" ",J4)+1,1)&amp;"."&amp;MID(J4,SEARCH(" ",J4,SEARCH(" ",J4)+1)+1,1)&amp;"."</f>
        <v>Баранов Б.Б.</v>
      </c>
      <c r="L4" t="str">
        <f>GenitiveCaseInCell1(J4)</f>
        <v>Баранова Барана Барановича</v>
      </c>
      <c r="M4" t="s">
        <v>19</v>
      </c>
      <c r="N4" t="s">
        <v>20</v>
      </c>
      <c r="O4" t="str">
        <f>TEXT(100000,"## ###,00")</f>
        <v>100 000,00</v>
      </c>
      <c r="P4" s="1" t="str">
        <f>TEXT("01.12.2016","ДД.ММ.ГГГГ")</f>
        <v>01.12.2016</v>
      </c>
      <c r="Q4" t="str">
        <f>TEXT("31.12.2016","ДД.ММ.ГГГГ")</f>
        <v>31.12.2016</v>
      </c>
      <c r="R4" t="str">
        <f>SUBSTITUTE(LOWER(INDEX(n_4,MID(TEXT(O4,n0),1,1)+1)&amp;INDEX(n0x,MID(TEXT(O4,n0),2,1)+1,MID(TEXT(O4,n0),3,1)+1)&amp;IF(-MID(TEXT(O4,n0),1,3),"миллиард"&amp;VLOOKUP(MID(TEXT(O4,n0),3,1)*AND(MID(TEXT(O4,n0),2,1)-1),мил,2),"")&amp;INDEX(n_4,MID(TEXT(O4,n0),4,1)+1)&amp;INDEX(n0x,MID(TEXT(O4,n0),5,1)+1,MID(TEXT(O4,n0),6,1)+1)&amp;IF(-MID(TEXT(O4,n0),4,3),"миллион"&amp;VLOOKUP(MID(TEXT(O4,n0),6,1)*AND(MID(TEXT(O4,n0),5,1)-1),мил,2),"")&amp;INDEX(n_4,MID(TEXT(O4,n0),7,1)+1)&amp;INDEX(n1x,MID(TEXT(O4,n0),8,1)+1,MID(TEXT(O4,n0),9,1)+1)&amp;IF(-MID(TEXT(O4,n0),7,3),VLOOKUP(MID(TEXT(O4,n0),9,1)*AND(MID(TEXT(O4,n0),8,1)-1),тыс,2),"")&amp;INDEX(n_4,MID(TEXT(O4,n0),10,1)+1)&amp;INDEX(IF(-MID(TEXT(O4,n0),14,6),n1x,n0x),MID(TEXT(O4,n0),11,1)+1,MID(TEXT(O4,n0),12,1)+1)),"z"," ")&amp;IF(TRUNC(TEXT(O4,n0)),,"Ноль ")&amp;IF(-MID(TEXT(O4,n0),14,6),IF(MOD(MAX(MOD(MID(TEXT(O4,n0),11,2)-11,100),9),10),"целых ","целая ")&amp;SUBSTITUTE(INDEX(n_4,MID(TEXT(O4,n0),14,6)/10^5+1)&amp;INDEX(n1x,MOD(MID(TEXT(O4,n0),14,6)/10^4,10)+1,MOD(MID(TEXT(O4,n0),14,6)/1000,10)+1)&amp;IF(INT(MID(TEXT(O4,n0),14,6)/1000),VLOOKUP(MOD(MID(TEXT(O4,n0),14,6)/1000,10)*(MOD(INT(MID(TEXT(O4,n0),14,6)/10^4),10)&lt;&gt;1),тыс,2),"")&amp;INDEX(n_4,MOD(MID(TEXT(O4,n0),14,6)/100,10)+1)&amp;INDEX(n1x,MOD(MID(TEXT(O4,n0),14,6)/10,10)+1,MOD(MID(TEXT(O4,n0),14,6),10)+1),"z"," ")&amp;INDEX(доля,LEN(MID(TEXT(O4,n0),14,6)),(MOD(MAX(MOD(MID(TEXT(O4,n0),14,6)-11,100),9),10)&gt;0)+1),)</f>
        <v xml:space="preserve">сто тысяч </v>
      </c>
      <c r="S4" t="str">
        <f>RIGHT(O4,2)</f>
        <v>00</v>
      </c>
    </row>
    <row r="5" spans="1:19" x14ac:dyDescent="0.25">
      <c r="A5" t="s">
        <v>12</v>
      </c>
      <c r="B5" s="3" t="s">
        <v>13</v>
      </c>
      <c r="C5" s="3" t="s">
        <v>14</v>
      </c>
      <c r="D5">
        <v>2016</v>
      </c>
      <c r="E5" t="s">
        <v>15</v>
      </c>
      <c r="F5" t="s">
        <v>16</v>
      </c>
      <c r="G5" t="str">
        <f>MID(F5,1,SEARCH(" ",F5)-1)&amp;" "&amp;MID(F5,SEARCH(" ",F5)+1,1)&amp;"."&amp;MID(F5,SEARCH(" ",F5,SEARCH(" ",F5)+1)+1,1)&amp;"."</f>
        <v>Акулов А.А.</v>
      </c>
      <c r="H5" t="str">
        <f>GenitiveCaseInCell1(F5)</f>
        <v>Акулова Акула Акулевича</v>
      </c>
      <c r="I5" t="s">
        <v>17</v>
      </c>
      <c r="J5" t="s">
        <v>18</v>
      </c>
      <c r="K5" t="str">
        <f>MID(J5,1,SEARCH(" ",J5)-1)&amp;" "&amp;MID(J5,SEARCH(" ",J5)+1,1)&amp;"."&amp;MID(J5,SEARCH(" ",J5,SEARCH(" ",J5)+1)+1,1)&amp;"."</f>
        <v>Баранов Б.Б.</v>
      </c>
      <c r="L5" t="str">
        <f>GenitiveCaseInCell1(J5)</f>
        <v>Баранова Барана Барановича</v>
      </c>
      <c r="M5" t="s">
        <v>19</v>
      </c>
      <c r="N5" t="s">
        <v>20</v>
      </c>
      <c r="O5" t="str">
        <f>TEXT(100000,"## ###,00")</f>
        <v>100 000,00</v>
      </c>
      <c r="P5" s="1" t="str">
        <f>TEXT("01.12.2016","ДД.ММ.ГГГГ")</f>
        <v>01.12.2016</v>
      </c>
      <c r="Q5" t="str">
        <f>TEXT("31.12.2016","ДД.ММ.ГГГГ")</f>
        <v>31.12.2016</v>
      </c>
      <c r="R5" t="str">
        <f>SUBSTITUTE(LOWER(INDEX(n_4,MID(TEXT(O5,n0),1,1)+1)&amp;INDEX(n0x,MID(TEXT(O5,n0),2,1)+1,MID(TEXT(O5,n0),3,1)+1)&amp;IF(-MID(TEXT(O5,n0),1,3),"миллиард"&amp;VLOOKUP(MID(TEXT(O5,n0),3,1)*AND(MID(TEXT(O5,n0),2,1)-1),мил,2),"")&amp;INDEX(n_4,MID(TEXT(O5,n0),4,1)+1)&amp;INDEX(n0x,MID(TEXT(O5,n0),5,1)+1,MID(TEXT(O5,n0),6,1)+1)&amp;IF(-MID(TEXT(O5,n0),4,3),"миллион"&amp;VLOOKUP(MID(TEXT(O5,n0),6,1)*AND(MID(TEXT(O5,n0),5,1)-1),мил,2),"")&amp;INDEX(n_4,MID(TEXT(O5,n0),7,1)+1)&amp;INDEX(n1x,MID(TEXT(O5,n0),8,1)+1,MID(TEXT(O5,n0),9,1)+1)&amp;IF(-MID(TEXT(O5,n0),7,3),VLOOKUP(MID(TEXT(O5,n0),9,1)*AND(MID(TEXT(O5,n0),8,1)-1),тыс,2),"")&amp;INDEX(n_4,MID(TEXT(O5,n0),10,1)+1)&amp;INDEX(IF(-MID(TEXT(O5,n0),14,6),n1x,n0x),MID(TEXT(O5,n0),11,1)+1,MID(TEXT(O5,n0),12,1)+1)),"z"," ")&amp;IF(TRUNC(TEXT(O5,n0)),,"Ноль ")&amp;IF(-MID(TEXT(O5,n0),14,6),IF(MOD(MAX(MOD(MID(TEXT(O5,n0),11,2)-11,100),9),10),"целых ","целая ")&amp;SUBSTITUTE(INDEX(n_4,MID(TEXT(O5,n0),14,6)/10^5+1)&amp;INDEX(n1x,MOD(MID(TEXT(O5,n0),14,6)/10^4,10)+1,MOD(MID(TEXT(O5,n0),14,6)/1000,10)+1)&amp;IF(INT(MID(TEXT(O5,n0),14,6)/1000),VLOOKUP(MOD(MID(TEXT(O5,n0),14,6)/1000,10)*(MOD(INT(MID(TEXT(O5,n0),14,6)/10^4),10)&lt;&gt;1),тыс,2),"")&amp;INDEX(n_4,MOD(MID(TEXT(O5,n0),14,6)/100,10)+1)&amp;INDEX(n1x,MOD(MID(TEXT(O5,n0),14,6)/10,10)+1,MOD(MID(TEXT(O5,n0),14,6),10)+1),"z"," ")&amp;INDEX(доля,LEN(MID(TEXT(O5,n0),14,6)),(MOD(MAX(MOD(MID(TEXT(O5,n0),14,6)-11,100),9),10)&gt;0)+1),)</f>
        <v xml:space="preserve">сто тысяч </v>
      </c>
      <c r="S5" t="str">
        <f>RIGHT(O5,2)</f>
        <v>00</v>
      </c>
    </row>
    <row r="6" spans="1:19" x14ac:dyDescent="0.25">
      <c r="A6" t="s">
        <v>12</v>
      </c>
      <c r="B6" s="3" t="s">
        <v>13</v>
      </c>
      <c r="C6" s="3" t="s">
        <v>14</v>
      </c>
      <c r="D6">
        <v>2016</v>
      </c>
      <c r="E6" t="s">
        <v>15</v>
      </c>
      <c r="F6" t="s">
        <v>16</v>
      </c>
      <c r="G6" t="str">
        <f>MID(F6,1,SEARCH(" ",F6)-1)&amp;" "&amp;MID(F6,SEARCH(" ",F6)+1,1)&amp;"."&amp;MID(F6,SEARCH(" ",F6,SEARCH(" ",F6)+1)+1,1)&amp;"."</f>
        <v>Акулов А.А.</v>
      </c>
      <c r="H6" t="str">
        <f>GenitiveCaseInCell1(F6)</f>
        <v>Акулова Акула Акулевича</v>
      </c>
      <c r="I6" t="s">
        <v>17</v>
      </c>
      <c r="J6" t="s">
        <v>18</v>
      </c>
      <c r="K6" t="str">
        <f>MID(J6,1,SEARCH(" ",J6)-1)&amp;" "&amp;MID(J6,SEARCH(" ",J6)+1,1)&amp;"."&amp;MID(J6,SEARCH(" ",J6,SEARCH(" ",J6)+1)+1,1)&amp;"."</f>
        <v>Баранов Б.Б.</v>
      </c>
      <c r="L6" t="str">
        <f>GenitiveCaseInCell1(J6)</f>
        <v>Баранова Барана Барановича</v>
      </c>
      <c r="M6" t="s">
        <v>19</v>
      </c>
      <c r="N6" t="s">
        <v>20</v>
      </c>
      <c r="O6" t="str">
        <f>TEXT(100000,"## ###,00")</f>
        <v>100 000,00</v>
      </c>
      <c r="P6" s="1" t="str">
        <f>TEXT("01.12.2016","ДД.ММ.ГГГГ")</f>
        <v>01.12.2016</v>
      </c>
      <c r="Q6" t="str">
        <f>TEXT("31.12.2016","ДД.ММ.ГГГГ")</f>
        <v>31.12.2016</v>
      </c>
      <c r="R6" t="str">
        <f>SUBSTITUTE(LOWER(INDEX(n_4,MID(TEXT(O6,n0),1,1)+1)&amp;INDEX(n0x,MID(TEXT(O6,n0),2,1)+1,MID(TEXT(O6,n0),3,1)+1)&amp;IF(-MID(TEXT(O6,n0),1,3),"миллиард"&amp;VLOOKUP(MID(TEXT(O6,n0),3,1)*AND(MID(TEXT(O6,n0),2,1)-1),мил,2),"")&amp;INDEX(n_4,MID(TEXT(O6,n0),4,1)+1)&amp;INDEX(n0x,MID(TEXT(O6,n0),5,1)+1,MID(TEXT(O6,n0),6,1)+1)&amp;IF(-MID(TEXT(O6,n0),4,3),"миллион"&amp;VLOOKUP(MID(TEXT(O6,n0),6,1)*AND(MID(TEXT(O6,n0),5,1)-1),мил,2),"")&amp;INDEX(n_4,MID(TEXT(O6,n0),7,1)+1)&amp;INDEX(n1x,MID(TEXT(O6,n0),8,1)+1,MID(TEXT(O6,n0),9,1)+1)&amp;IF(-MID(TEXT(O6,n0),7,3),VLOOKUP(MID(TEXT(O6,n0),9,1)*AND(MID(TEXT(O6,n0),8,1)-1),тыс,2),"")&amp;INDEX(n_4,MID(TEXT(O6,n0),10,1)+1)&amp;INDEX(IF(-MID(TEXT(O6,n0),14,6),n1x,n0x),MID(TEXT(O6,n0),11,1)+1,MID(TEXT(O6,n0),12,1)+1)),"z"," ")&amp;IF(TRUNC(TEXT(O6,n0)),,"Ноль ")&amp;IF(-MID(TEXT(O6,n0),14,6),IF(MOD(MAX(MOD(MID(TEXT(O6,n0),11,2)-11,100),9),10),"целых ","целая ")&amp;SUBSTITUTE(INDEX(n_4,MID(TEXT(O6,n0),14,6)/10^5+1)&amp;INDEX(n1x,MOD(MID(TEXT(O6,n0),14,6)/10^4,10)+1,MOD(MID(TEXT(O6,n0),14,6)/1000,10)+1)&amp;IF(INT(MID(TEXT(O6,n0),14,6)/1000),VLOOKUP(MOD(MID(TEXT(O6,n0),14,6)/1000,10)*(MOD(INT(MID(TEXT(O6,n0),14,6)/10^4),10)&lt;&gt;1),тыс,2),"")&amp;INDEX(n_4,MOD(MID(TEXT(O6,n0),14,6)/100,10)+1)&amp;INDEX(n1x,MOD(MID(TEXT(O6,n0),14,6)/10,10)+1,MOD(MID(TEXT(O6,n0),14,6),10)+1),"z"," ")&amp;INDEX(доля,LEN(MID(TEXT(O6,n0),14,6)),(MOD(MAX(MOD(MID(TEXT(O6,n0),14,6)-11,100),9),10)&gt;0)+1),)</f>
        <v xml:space="preserve">сто тысяч </v>
      </c>
      <c r="S6" t="str">
        <f>RIGHT(O6,2)</f>
        <v>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50"/>
  <sheetViews>
    <sheetView workbookViewId="0">
      <selection activeCell="A7" sqref="A7"/>
    </sheetView>
  </sheetViews>
  <sheetFormatPr defaultRowHeight="12.75" x14ac:dyDescent="0.2"/>
  <cols>
    <col min="1" max="1" width="35.42578125" style="9" customWidth="1"/>
    <col min="2" max="2" width="9.7109375" style="9" bestFit="1" customWidth="1"/>
    <col min="3" max="256" width="9.140625" style="9"/>
    <col min="257" max="257" width="35.42578125" style="9" customWidth="1"/>
    <col min="258" max="258" width="9.7109375" style="9" bestFit="1" customWidth="1"/>
    <col min="259" max="512" width="9.140625" style="9"/>
    <col min="513" max="513" width="35.42578125" style="9" customWidth="1"/>
    <col min="514" max="514" width="9.7109375" style="9" bestFit="1" customWidth="1"/>
    <col min="515" max="768" width="9.140625" style="9"/>
    <col min="769" max="769" width="35.42578125" style="9" customWidth="1"/>
    <col min="770" max="770" width="9.7109375" style="9" bestFit="1" customWidth="1"/>
    <col min="771" max="1024" width="9.140625" style="9"/>
    <col min="1025" max="1025" width="35.42578125" style="9" customWidth="1"/>
    <col min="1026" max="1026" width="9.7109375" style="9" bestFit="1" customWidth="1"/>
    <col min="1027" max="1280" width="9.140625" style="9"/>
    <col min="1281" max="1281" width="35.42578125" style="9" customWidth="1"/>
    <col min="1282" max="1282" width="9.7109375" style="9" bestFit="1" customWidth="1"/>
    <col min="1283" max="1536" width="9.140625" style="9"/>
    <col min="1537" max="1537" width="35.42578125" style="9" customWidth="1"/>
    <col min="1538" max="1538" width="9.7109375" style="9" bestFit="1" customWidth="1"/>
    <col min="1539" max="1792" width="9.140625" style="9"/>
    <col min="1793" max="1793" width="35.42578125" style="9" customWidth="1"/>
    <col min="1794" max="1794" width="9.7109375" style="9" bestFit="1" customWidth="1"/>
    <col min="1795" max="2048" width="9.140625" style="9"/>
    <col min="2049" max="2049" width="35.42578125" style="9" customWidth="1"/>
    <col min="2050" max="2050" width="9.7109375" style="9" bestFit="1" customWidth="1"/>
    <col min="2051" max="2304" width="9.140625" style="9"/>
    <col min="2305" max="2305" width="35.42578125" style="9" customWidth="1"/>
    <col min="2306" max="2306" width="9.7109375" style="9" bestFit="1" customWidth="1"/>
    <col min="2307" max="2560" width="9.140625" style="9"/>
    <col min="2561" max="2561" width="35.42578125" style="9" customWidth="1"/>
    <col min="2562" max="2562" width="9.7109375" style="9" bestFit="1" customWidth="1"/>
    <col min="2563" max="2816" width="9.140625" style="9"/>
    <col min="2817" max="2817" width="35.42578125" style="9" customWidth="1"/>
    <col min="2818" max="2818" width="9.7109375" style="9" bestFit="1" customWidth="1"/>
    <col min="2819" max="3072" width="9.140625" style="9"/>
    <col min="3073" max="3073" width="35.42578125" style="9" customWidth="1"/>
    <col min="3074" max="3074" width="9.7109375" style="9" bestFit="1" customWidth="1"/>
    <col min="3075" max="3328" width="9.140625" style="9"/>
    <col min="3329" max="3329" width="35.42578125" style="9" customWidth="1"/>
    <col min="3330" max="3330" width="9.7109375" style="9" bestFit="1" customWidth="1"/>
    <col min="3331" max="3584" width="9.140625" style="9"/>
    <col min="3585" max="3585" width="35.42578125" style="9" customWidth="1"/>
    <col min="3586" max="3586" width="9.7109375" style="9" bestFit="1" customWidth="1"/>
    <col min="3587" max="3840" width="9.140625" style="9"/>
    <col min="3841" max="3841" width="35.42578125" style="9" customWidth="1"/>
    <col min="3842" max="3842" width="9.7109375" style="9" bestFit="1" customWidth="1"/>
    <col min="3843" max="4096" width="9.140625" style="9"/>
    <col min="4097" max="4097" width="35.42578125" style="9" customWidth="1"/>
    <col min="4098" max="4098" width="9.7109375" style="9" bestFit="1" customWidth="1"/>
    <col min="4099" max="4352" width="9.140625" style="9"/>
    <col min="4353" max="4353" width="35.42578125" style="9" customWidth="1"/>
    <col min="4354" max="4354" width="9.7109375" style="9" bestFit="1" customWidth="1"/>
    <col min="4355" max="4608" width="9.140625" style="9"/>
    <col min="4609" max="4609" width="35.42578125" style="9" customWidth="1"/>
    <col min="4610" max="4610" width="9.7109375" style="9" bestFit="1" customWidth="1"/>
    <col min="4611" max="4864" width="9.140625" style="9"/>
    <col min="4865" max="4865" width="35.42578125" style="9" customWidth="1"/>
    <col min="4866" max="4866" width="9.7109375" style="9" bestFit="1" customWidth="1"/>
    <col min="4867" max="5120" width="9.140625" style="9"/>
    <col min="5121" max="5121" width="35.42578125" style="9" customWidth="1"/>
    <col min="5122" max="5122" width="9.7109375" style="9" bestFit="1" customWidth="1"/>
    <col min="5123" max="5376" width="9.140625" style="9"/>
    <col min="5377" max="5377" width="35.42578125" style="9" customWidth="1"/>
    <col min="5378" max="5378" width="9.7109375" style="9" bestFit="1" customWidth="1"/>
    <col min="5379" max="5632" width="9.140625" style="9"/>
    <col min="5633" max="5633" width="35.42578125" style="9" customWidth="1"/>
    <col min="5634" max="5634" width="9.7109375" style="9" bestFit="1" customWidth="1"/>
    <col min="5635" max="5888" width="9.140625" style="9"/>
    <col min="5889" max="5889" width="35.42578125" style="9" customWidth="1"/>
    <col min="5890" max="5890" width="9.7109375" style="9" bestFit="1" customWidth="1"/>
    <col min="5891" max="6144" width="9.140625" style="9"/>
    <col min="6145" max="6145" width="35.42578125" style="9" customWidth="1"/>
    <col min="6146" max="6146" width="9.7109375" style="9" bestFit="1" customWidth="1"/>
    <col min="6147" max="6400" width="9.140625" style="9"/>
    <col min="6401" max="6401" width="35.42578125" style="9" customWidth="1"/>
    <col min="6402" max="6402" width="9.7109375" style="9" bestFit="1" customWidth="1"/>
    <col min="6403" max="6656" width="9.140625" style="9"/>
    <col min="6657" max="6657" width="35.42578125" style="9" customWidth="1"/>
    <col min="6658" max="6658" width="9.7109375" style="9" bestFit="1" customWidth="1"/>
    <col min="6659" max="6912" width="9.140625" style="9"/>
    <col min="6913" max="6913" width="35.42578125" style="9" customWidth="1"/>
    <col min="6914" max="6914" width="9.7109375" style="9" bestFit="1" customWidth="1"/>
    <col min="6915" max="7168" width="9.140625" style="9"/>
    <col min="7169" max="7169" width="35.42578125" style="9" customWidth="1"/>
    <col min="7170" max="7170" width="9.7109375" style="9" bestFit="1" customWidth="1"/>
    <col min="7171" max="7424" width="9.140625" style="9"/>
    <col min="7425" max="7425" width="35.42578125" style="9" customWidth="1"/>
    <col min="7426" max="7426" width="9.7109375" style="9" bestFit="1" customWidth="1"/>
    <col min="7427" max="7680" width="9.140625" style="9"/>
    <col min="7681" max="7681" width="35.42578125" style="9" customWidth="1"/>
    <col min="7682" max="7682" width="9.7109375" style="9" bestFit="1" customWidth="1"/>
    <col min="7683" max="7936" width="9.140625" style="9"/>
    <col min="7937" max="7937" width="35.42578125" style="9" customWidth="1"/>
    <col min="7938" max="7938" width="9.7109375" style="9" bestFit="1" customWidth="1"/>
    <col min="7939" max="8192" width="9.140625" style="9"/>
    <col min="8193" max="8193" width="35.42578125" style="9" customWidth="1"/>
    <col min="8194" max="8194" width="9.7109375" style="9" bestFit="1" customWidth="1"/>
    <col min="8195" max="8448" width="9.140625" style="9"/>
    <col min="8449" max="8449" width="35.42578125" style="9" customWidth="1"/>
    <col min="8450" max="8450" width="9.7109375" style="9" bestFit="1" customWidth="1"/>
    <col min="8451" max="8704" width="9.140625" style="9"/>
    <col min="8705" max="8705" width="35.42578125" style="9" customWidth="1"/>
    <col min="8706" max="8706" width="9.7109375" style="9" bestFit="1" customWidth="1"/>
    <col min="8707" max="8960" width="9.140625" style="9"/>
    <col min="8961" max="8961" width="35.42578125" style="9" customWidth="1"/>
    <col min="8962" max="8962" width="9.7109375" style="9" bestFit="1" customWidth="1"/>
    <col min="8963" max="9216" width="9.140625" style="9"/>
    <col min="9217" max="9217" width="35.42578125" style="9" customWidth="1"/>
    <col min="9218" max="9218" width="9.7109375" style="9" bestFit="1" customWidth="1"/>
    <col min="9219" max="9472" width="9.140625" style="9"/>
    <col min="9473" max="9473" width="35.42578125" style="9" customWidth="1"/>
    <col min="9474" max="9474" width="9.7109375" style="9" bestFit="1" customWidth="1"/>
    <col min="9475" max="9728" width="9.140625" style="9"/>
    <col min="9729" max="9729" width="35.42578125" style="9" customWidth="1"/>
    <col min="9730" max="9730" width="9.7109375" style="9" bestFit="1" customWidth="1"/>
    <col min="9731" max="9984" width="9.140625" style="9"/>
    <col min="9985" max="9985" width="35.42578125" style="9" customWidth="1"/>
    <col min="9986" max="9986" width="9.7109375" style="9" bestFit="1" customWidth="1"/>
    <col min="9987" max="10240" width="9.140625" style="9"/>
    <col min="10241" max="10241" width="35.42578125" style="9" customWidth="1"/>
    <col min="10242" max="10242" width="9.7109375" style="9" bestFit="1" customWidth="1"/>
    <col min="10243" max="10496" width="9.140625" style="9"/>
    <col min="10497" max="10497" width="35.42578125" style="9" customWidth="1"/>
    <col min="10498" max="10498" width="9.7109375" style="9" bestFit="1" customWidth="1"/>
    <col min="10499" max="10752" width="9.140625" style="9"/>
    <col min="10753" max="10753" width="35.42578125" style="9" customWidth="1"/>
    <col min="10754" max="10754" width="9.7109375" style="9" bestFit="1" customWidth="1"/>
    <col min="10755" max="11008" width="9.140625" style="9"/>
    <col min="11009" max="11009" width="35.42578125" style="9" customWidth="1"/>
    <col min="11010" max="11010" width="9.7109375" style="9" bestFit="1" customWidth="1"/>
    <col min="11011" max="11264" width="9.140625" style="9"/>
    <col min="11265" max="11265" width="35.42578125" style="9" customWidth="1"/>
    <col min="11266" max="11266" width="9.7109375" style="9" bestFit="1" customWidth="1"/>
    <col min="11267" max="11520" width="9.140625" style="9"/>
    <col min="11521" max="11521" width="35.42578125" style="9" customWidth="1"/>
    <col min="11522" max="11522" width="9.7109375" style="9" bestFit="1" customWidth="1"/>
    <col min="11523" max="11776" width="9.140625" style="9"/>
    <col min="11777" max="11777" width="35.42578125" style="9" customWidth="1"/>
    <col min="11778" max="11778" width="9.7109375" style="9" bestFit="1" customWidth="1"/>
    <col min="11779" max="12032" width="9.140625" style="9"/>
    <col min="12033" max="12033" width="35.42578125" style="9" customWidth="1"/>
    <col min="12034" max="12034" width="9.7109375" style="9" bestFit="1" customWidth="1"/>
    <col min="12035" max="12288" width="9.140625" style="9"/>
    <col min="12289" max="12289" width="35.42578125" style="9" customWidth="1"/>
    <col min="12290" max="12290" width="9.7109375" style="9" bestFit="1" customWidth="1"/>
    <col min="12291" max="12544" width="9.140625" style="9"/>
    <col min="12545" max="12545" width="35.42578125" style="9" customWidth="1"/>
    <col min="12546" max="12546" width="9.7109375" style="9" bestFit="1" customWidth="1"/>
    <col min="12547" max="12800" width="9.140625" style="9"/>
    <col min="12801" max="12801" width="35.42578125" style="9" customWidth="1"/>
    <col min="12802" max="12802" width="9.7109375" style="9" bestFit="1" customWidth="1"/>
    <col min="12803" max="13056" width="9.140625" style="9"/>
    <col min="13057" max="13057" width="35.42578125" style="9" customWidth="1"/>
    <col min="13058" max="13058" width="9.7109375" style="9" bestFit="1" customWidth="1"/>
    <col min="13059" max="13312" width="9.140625" style="9"/>
    <col min="13313" max="13313" width="35.42578125" style="9" customWidth="1"/>
    <col min="13314" max="13314" width="9.7109375" style="9" bestFit="1" customWidth="1"/>
    <col min="13315" max="13568" width="9.140625" style="9"/>
    <col min="13569" max="13569" width="35.42578125" style="9" customWidth="1"/>
    <col min="13570" max="13570" width="9.7109375" style="9" bestFit="1" customWidth="1"/>
    <col min="13571" max="13824" width="9.140625" style="9"/>
    <col min="13825" max="13825" width="35.42578125" style="9" customWidth="1"/>
    <col min="13826" max="13826" width="9.7109375" style="9" bestFit="1" customWidth="1"/>
    <col min="13827" max="14080" width="9.140625" style="9"/>
    <col min="14081" max="14081" width="35.42578125" style="9" customWidth="1"/>
    <col min="14082" max="14082" width="9.7109375" style="9" bestFit="1" customWidth="1"/>
    <col min="14083" max="14336" width="9.140625" style="9"/>
    <col min="14337" max="14337" width="35.42578125" style="9" customWidth="1"/>
    <col min="14338" max="14338" width="9.7109375" style="9" bestFit="1" customWidth="1"/>
    <col min="14339" max="14592" width="9.140625" style="9"/>
    <col min="14593" max="14593" width="35.42578125" style="9" customWidth="1"/>
    <col min="14594" max="14594" width="9.7109375" style="9" bestFit="1" customWidth="1"/>
    <col min="14595" max="14848" width="9.140625" style="9"/>
    <col min="14849" max="14849" width="35.42578125" style="9" customWidth="1"/>
    <col min="14850" max="14850" width="9.7109375" style="9" bestFit="1" customWidth="1"/>
    <col min="14851" max="15104" width="9.140625" style="9"/>
    <col min="15105" max="15105" width="35.42578125" style="9" customWidth="1"/>
    <col min="15106" max="15106" width="9.7109375" style="9" bestFit="1" customWidth="1"/>
    <col min="15107" max="15360" width="9.140625" style="9"/>
    <col min="15361" max="15361" width="35.42578125" style="9" customWidth="1"/>
    <col min="15362" max="15362" width="9.7109375" style="9" bestFit="1" customWidth="1"/>
    <col min="15363" max="15616" width="9.140625" style="9"/>
    <col min="15617" max="15617" width="35.42578125" style="9" customWidth="1"/>
    <col min="15618" max="15618" width="9.7109375" style="9" bestFit="1" customWidth="1"/>
    <col min="15619" max="15872" width="9.140625" style="9"/>
    <col min="15873" max="15873" width="35.42578125" style="9" customWidth="1"/>
    <col min="15874" max="15874" width="9.7109375" style="9" bestFit="1" customWidth="1"/>
    <col min="15875" max="16128" width="9.140625" style="9"/>
    <col min="16129" max="16129" width="35.42578125" style="9" customWidth="1"/>
    <col min="16130" max="16130" width="9.7109375" style="9" bestFit="1" customWidth="1"/>
    <col min="16131" max="16384" width="9.140625" style="9"/>
  </cols>
  <sheetData>
    <row r="1" spans="1:16" s="4" customFormat="1" ht="18" x14ac:dyDescent="0.25">
      <c r="A1" s="4" t="s">
        <v>22</v>
      </c>
      <c r="B1" s="5"/>
    </row>
    <row r="2" spans="1:16" s="6" customFormat="1" x14ac:dyDescent="0.2">
      <c r="B2" s="7"/>
    </row>
    <row r="3" spans="1:16" x14ac:dyDescent="0.2">
      <c r="A3" s="8">
        <v>999999999999.99902</v>
      </c>
      <c r="B3" s="5" t="str">
        <f>SUBSTITUTE(PROPER(INDEX(n_4,MID(TEXT(A3,n0),1,1)+1)&amp;INDEX(n0x,MID(TEXT(A3,n0),2,1)+1,MID(TEXT(A3,n0),3,1)+1)&amp;IF(-MID(TEXT(A3,n0),1,3),"миллиард"&amp;VLOOKUP(MID(TEXT(A3,n0),3,1)*AND(MID(TEXT(A3,n0),2,1)-1),мил,2),"")&amp;INDEX(n_4,MID(TEXT(A3,n0),4,1)+1)&amp;INDEX(n0x,MID(TEXT(A3,n0),5,1)+1,MID(TEXT(A3,n0),6,1)+1)&amp;IF(-MID(TEXT(A3,n0),4,3),"миллион"&amp;VLOOKUP(MID(TEXT(A3,n0),6,1)*AND(MID(TEXT(A3,n0),5,1)-1),мил,2),"")&amp;INDEX(n_4,MID(TEXT(A3,n0),7,1)+1)&amp;INDEX(n1x,MID(TEXT(A3,n0),8,1)+1,MID(TEXT(A3,n0),9,1)+1)&amp;IF(-MID(TEXT(A3,n0),7,3),VLOOKUP(MID(TEXT(A3,n0),9,1)*AND(MID(TEXT(A3,n0),8,1)-1),тыс,2),"")&amp;INDEX(n_4,MID(TEXT(A3,n0),10,1)+1)&amp;INDEX(IF(-MID(TEXT(A3,n0),14,6),n1x,n0x),MID(TEXT(A3,n0),11,1)+1,MID(TEXT(A3,n0),12,1)+1)),"z"," ")&amp;IF(TRUNC(TEXT(A3,n0)),,"Ноль ")&amp;IF(-MID(TEXT(A3,n0),14,6),IF(MOD(MAX(MOD(MID(TEXT(A3,n0),11,2)-11,100),9),10),"целых ","целая ")&amp;SUBSTITUTE(INDEX(n_4,MID(TEXT(A3,n0),14,6)/10^5+1)&amp;INDEX(n1x,MOD(MID(TEXT(A3,n0),14,6)/10^4,10)+1,MOD(MID(TEXT(A3,n0),14,6)/1000,10)+1)&amp;IF(INT(MID(TEXT(A3,n0),14,6)/1000),VLOOKUP(MOD(MID(TEXT(A3,n0),14,6)/1000,10)*(MOD(INT(MID(TEXT(A3,n0),14,6)/10^4),10)&lt;&gt;1),тыс,2),"")&amp;INDEX(n_4,MOD(MID(TEXT(A3,n0),14,6)/100,10)+1)&amp;INDEX(n1x,MOD(MID(TEXT(A3,n0),14,6)/10,10)+1,MOD(MID(TEXT(A3,n0),14,6),10)+1),"z"," ")&amp;INDEX(доля,LEN(MID(TEXT(A3,n0),14,6)),(MOD(MAX(MOD(MID(TEXT(A3,n0),14,6)-11,100),9),10)&gt;0)+1),)</f>
        <v>Девятьсот девяносто девять миллиардов девятьсот девяносто девять миллионов девятьсот девяносто девять тысяч девятьсот девяносто девять целых девятьсот девяносто девять тысячных</v>
      </c>
    </row>
    <row r="4" spans="1:16" s="10" customFormat="1" x14ac:dyDescent="0.2">
      <c r="A4" s="10" t="s">
        <v>23</v>
      </c>
      <c r="F4" s="9"/>
      <c r="G4" s="9"/>
    </row>
    <row r="5" spans="1:16" x14ac:dyDescent="0.2">
      <c r="A5" s="8">
        <v>0.2</v>
      </c>
      <c r="B5" s="5" t="str">
        <f>SUBSTITUTE(PROPER(INDEX(n_4,MID(TEXT(A5,n0),1,1)+1)&amp;INDEX(n0x,MID(TEXT(A5,n0),2,1)+1,MID(TEXT(A5,n0),3,1)+1)&amp;IF(-MID(TEXT(A5,n0),1,3),"миллиард"&amp;VLOOKUP(MID(TEXT(A5,n0),3,1)*AND(MID(TEXT(A5,n0),2,1)-1),мил,2),"")&amp;INDEX(n_4,MID(TEXT(A5,n0),4,1)+1)&amp;INDEX(n0x,MID(TEXT(A5,n0),5,1)+1,MID(TEXT(A5,n0),6,1)+1)&amp;IF(-MID(TEXT(A5,n0),4,3),"миллион"&amp;VLOOKUP(MID(TEXT(A5,n0),6,1)*AND(MID(TEXT(A5,n0),5,1)-1),мил,2),"")&amp;INDEX(n_4,MID(TEXT(A5,n0),7,1)+1)&amp;INDEX(n1x,MID(TEXT(A5,n0),8,1)+1,MID(TEXT(A5,n0),9,1)+1)&amp;IF(-MID(TEXT(A5,n0),7,3),VLOOKUP(MID(TEXT(A5,n0),9,1)*AND(MID(TEXT(A5,n0),8,1)-1),тыс,2),"")&amp;INDEX(n_4,MID(TEXT(A5,n0),10,1)+1)&amp;INDEX(IF(-MID(TEXT(A5,n0),14,6),n1x,n0x),MID(TEXT(A5,n0),11,1)+1,MID(TEXT(A5,n0),12,1)+1)),"z"," ")&amp;IF(TRUNC(TEXT(A5,n0)),,"Ноль ")&amp;IF(-MID(TEXT(A5,n0),14,6),IF(MOD(MAX(MOD(MID(TEXT(A5,n0),11,2)-11,100),9),10),"целых ","целая ")&amp;SUBSTITUTE(INDEX(n_4,MID(TEXT(A5,n0),14,6)/10^5+1)&amp;INDEX(n1x,MOD(MID(TEXT(A5,n0),14,6)/10^4,10)+1,MOD(MID(TEXT(A5,n0),14,6)/1000,10)+1)&amp;IF(INT(MID(TEXT(A5,n0),14,6)/1000),VLOOKUP(MOD(MID(TEXT(A5,n0),14,6)/1000,10)*(MOD(INT(MID(TEXT(A5,n0),14,6)/10^4),10)&lt;&gt;1),тыс,2),"")&amp;INDEX(n_4,MOD(MID(TEXT(A5,n0),14,6)/100,10)+1)&amp;INDEX(n1x,MOD(MID(TEXT(A5,n0),14,6)/10,10)+1,MOD(MID(TEXT(A5,n0),14,6),10)+1),"z"," ")&amp;INDEX(доля,LEN(MID(TEXT(A5,n0),14,6)),(MOD(MAX(MOD(MID(TEXT(A5,n0),14,6)-11,100),9),10)&gt;0)+1),)</f>
        <v>Ноль целых две десятых</v>
      </c>
      <c r="P5" s="5"/>
    </row>
    <row r="6" spans="1:16" x14ac:dyDescent="0.2">
      <c r="A6" s="8">
        <v>1</v>
      </c>
      <c r="B6" s="5" t="str">
        <f>SUBSTITUTE(PROPER(INDEX(n_4,MID(TEXT(A6,n0),1,1)+1)&amp;INDEX(n0x,MID(TEXT(A6,n0),2,1)+1,MID(TEXT(A6,n0),3,1)+1)&amp;IF(-MID(TEXT(A6,n0),1,3),"миллиард"&amp;VLOOKUP(MID(TEXT(A6,n0),3,1)*AND(MID(TEXT(A6,n0),2,1)-1),мил,2),"")&amp;INDEX(n_4,MID(TEXT(A6,n0),4,1)+1)&amp;INDEX(n0x,MID(TEXT(A6,n0),5,1)+1,MID(TEXT(A6,n0),6,1)+1)&amp;IF(-MID(TEXT(A6,n0),4,3),"миллион"&amp;VLOOKUP(MID(TEXT(A6,n0),6,1)*AND(MID(TEXT(A6,n0),5,1)-1),мил,2),"")&amp;INDEX(n_4,MID(TEXT(A6,n0),7,1)+1)&amp;INDEX(n1x,MID(TEXT(A6,n0),8,1)+1,MID(TEXT(A6,n0),9,1)+1)&amp;IF(-MID(TEXT(A6,n0),7,3),VLOOKUP(MID(TEXT(A6,n0),9,1)*AND(MID(TEXT(A6,n0),8,1)-1),тыс,2),"")&amp;INDEX(n_4,MID(TEXT(A6,n0),10,1)+1)&amp;INDEX(IF(-MID(TEXT(A6,n0),14,6),n1x,n0x),MID(TEXT(A6,n0),11,1)+1,MID(TEXT(A6,n0),12,1)+1)),"z"," ")&amp;IF(TRUNC(TEXT(A6,n0)),,"Ноль ")&amp;IF(-MID(TEXT(A6,n0),14,6),IF(MOD(MAX(MOD(MID(TEXT(A6,n0),11,2)-11,100),9),10),"целых ","целая ")&amp;SUBSTITUTE(INDEX(n_4,MID(TEXT(A6,n0),14,6)/10^5+1)&amp;INDEX(n1x,MOD(MID(TEXT(A6,n0),14,6)/10^4,10)+1,MOD(MID(TEXT(A6,n0),14,6)/1000,10)+1)&amp;IF(INT(MID(TEXT(A6,n0),14,6)/1000),VLOOKUP(MOD(MID(TEXT(A6,n0),14,6)/1000,10)*(MOD(INT(MID(TEXT(A6,n0),14,6)/10^4),10)&lt;&gt;1),тыс,2),"")&amp;INDEX(n_4,MOD(MID(TEXT(A6,n0),14,6)/100,10)+1)&amp;INDEX(n1x,MOD(MID(TEXT(A6,n0),14,6)/10,10)+1,MOD(MID(TEXT(A6,n0),14,6),10)+1),"z"," ")&amp;INDEX(доля,LEN(MID(TEXT(A6,n0),14,6)),(MOD(MAX(MOD(MID(TEXT(A6,n0),14,6)-11,100),9),10)&gt;0)+1),)</f>
        <v xml:space="preserve">Один </v>
      </c>
      <c r="P6" s="5"/>
    </row>
    <row r="7" spans="1:16" x14ac:dyDescent="0.2">
      <c r="A7" s="8">
        <v>2.0099999999999998</v>
      </c>
      <c r="B7" s="5" t="str">
        <f>SUBSTITUTE(PROPER(INDEX(n_4,MID(TEXT(A7,n0),1,1)+1)&amp;INDEX(n0x,MID(TEXT(A7,n0),2,1)+1,MID(TEXT(A7,n0),3,1)+1)&amp;IF(-MID(TEXT(A7,n0),1,3),"миллиард"&amp;VLOOKUP(MID(TEXT(A7,n0),3,1)*AND(MID(TEXT(A7,n0),2,1)-1),мил,2),"")&amp;INDEX(n_4,MID(TEXT(A7,n0),4,1)+1)&amp;INDEX(n0x,MID(TEXT(A7,n0),5,1)+1,MID(TEXT(A7,n0),6,1)+1)&amp;IF(-MID(TEXT(A7,n0),4,3),"миллион"&amp;VLOOKUP(MID(TEXT(A7,n0),6,1)*AND(MID(TEXT(A7,n0),5,1)-1),мил,2),"")&amp;INDEX(n_4,MID(TEXT(A7,n0),7,1)+1)&amp;INDEX(n1x,MID(TEXT(A7,n0),8,1)+1,MID(TEXT(A7,n0),9,1)+1)&amp;IF(-MID(TEXT(A7,n0),7,3),VLOOKUP(MID(TEXT(A7,n0),9,1)*AND(MID(TEXT(A7,n0),8,1)-1),тыс,2),"")&amp;INDEX(n_4,MID(TEXT(A7,n0),10,1)+1)&amp;INDEX(IF(-MID(TEXT(A7,n0),14,6),n1x,n0x),MID(TEXT(A7,n0),11,1)+1,MID(TEXT(A7,n0),12,1)+1)),"z"," ")&amp;IF(TRUNC(TEXT(A7,n0)),,"Ноль ")&amp;IF(-MID(TEXT(A7,n0),14,6),IF(MOD(MAX(MOD(MID(TEXT(A7,n0),11,2)-11,100),9),10),"целых ","целая ")&amp;SUBSTITUTE(INDEX(n_4,MID(TEXT(A7,n0),14,6)/10^5+1)&amp;INDEX(n1x,MOD(MID(TEXT(A7,n0),14,6)/10^4,10)+1,MOD(MID(TEXT(A7,n0),14,6)/1000,10)+1)&amp;IF(INT(MID(TEXT(A7,n0),14,6)/1000),VLOOKUP(MOD(MID(TEXT(A7,n0),14,6)/1000,10)*(MOD(INT(MID(TEXT(A7,n0),14,6)/10^4),10)&lt;&gt;1),тыс,2),"")&amp;INDEX(n_4,MOD(MID(TEXT(A7,n0),14,6)/100,10)+1)&amp;INDEX(n1x,MOD(MID(TEXT(A7,n0),14,6)/10,10)+1,MOD(MID(TEXT(A7,n0),14,6),10)+1),"z"," ")&amp;INDEX(доля,LEN(MID(TEXT(A7,n0),14,6)),(MOD(MAX(MOD(MID(TEXT(A7,n0),14,6)-11,100),9),10)&gt;0)+1),)</f>
        <v>Две целых одна сотая</v>
      </c>
      <c r="P7" s="5"/>
    </row>
    <row r="8" spans="1:16" x14ac:dyDescent="0.2">
      <c r="A8" s="8">
        <v>4.9909999999999997</v>
      </c>
      <c r="B8" s="5" t="str">
        <f>SUBSTITUTE(PROPER(INDEX(n_4,MID(TEXT(A8,n0),1,1)+1)&amp;INDEX(n0x,MID(TEXT(A8,n0),2,1)+1,MID(TEXT(A8,n0),3,1)+1)&amp;IF(-MID(TEXT(A8,n0),1,3),"миллиард"&amp;VLOOKUP(MID(TEXT(A8,n0),3,1)*AND(MID(TEXT(A8,n0),2,1)-1),мил,2),"")&amp;INDEX(n_4,MID(TEXT(A8,n0),4,1)+1)&amp;INDEX(n0x,MID(TEXT(A8,n0),5,1)+1,MID(TEXT(A8,n0),6,1)+1)&amp;IF(-MID(TEXT(A8,n0),4,3),"миллион"&amp;VLOOKUP(MID(TEXT(A8,n0),6,1)*AND(MID(TEXT(A8,n0),5,1)-1),мил,2),"")&amp;INDEX(n_4,MID(TEXT(A8,n0),7,1)+1)&amp;INDEX(n1x,MID(TEXT(A8,n0),8,1)+1,MID(TEXT(A8,n0),9,1)+1)&amp;IF(-MID(TEXT(A8,n0),7,3),VLOOKUP(MID(TEXT(A8,n0),9,1)*AND(MID(TEXT(A8,n0),8,1)-1),тыс,2),"")&amp;INDEX(n_4,MID(TEXT(A8,n0),10,1)+1)&amp;INDEX(IF(-MID(TEXT(A8,n0),14,6),n1x,n0x),MID(TEXT(A8,n0),11,1)+1,MID(TEXT(A8,n0),12,1)+1)),"z"," ")&amp;IF(TRUNC(TEXT(A8,n0)),,"Ноль ")&amp;IF(-MID(TEXT(A8,n0),14,6),IF(MOD(MAX(MOD(MID(TEXT(A8,n0),11,2)-11,100),9),10),"целых ","целая ")&amp;SUBSTITUTE(INDEX(n_4,MID(TEXT(A8,n0),14,6)/10^5+1)&amp;INDEX(n1x,MOD(MID(TEXT(A8,n0),14,6)/10^4,10)+1,MOD(MID(TEXT(A8,n0),14,6)/1000,10)+1)&amp;IF(INT(MID(TEXT(A8,n0),14,6)/1000),VLOOKUP(MOD(MID(TEXT(A8,n0),14,6)/1000,10)*(MOD(INT(MID(TEXT(A8,n0),14,6)/10^4),10)&lt;&gt;1),тыс,2),"")&amp;INDEX(n_4,MOD(MID(TEXT(A8,n0),14,6)/100,10)+1)&amp;INDEX(n1x,MOD(MID(TEXT(A8,n0),14,6)/10,10)+1,MOD(MID(TEXT(A8,n0),14,6),10)+1),"z"," ")&amp;INDEX(доля,LEN(MID(TEXT(A8,n0),14,6)),(MOD(MAX(MOD(MID(TEXT(A8,n0),14,6)-11,100),9),10)&gt;0)+1),)</f>
        <v>Четыре целых девятьсот девяносто одна тысячная</v>
      </c>
      <c r="P8" s="5"/>
    </row>
    <row r="9" spans="1:16" x14ac:dyDescent="0.2">
      <c r="A9" s="8">
        <v>5.1123000000000003</v>
      </c>
      <c r="B9" s="5" t="str">
        <f>SUBSTITUTE(PROPER(INDEX(n_4,MID(TEXT(A9,n0),1,1)+1)&amp;INDEX(n0x,MID(TEXT(A9,n0),2,1)+1,MID(TEXT(A9,n0),3,1)+1)&amp;IF(-MID(TEXT(A9,n0),1,3),"миллиард"&amp;VLOOKUP(MID(TEXT(A9,n0),3,1)*AND(MID(TEXT(A9,n0),2,1)-1),мил,2),"")&amp;INDEX(n_4,MID(TEXT(A9,n0),4,1)+1)&amp;INDEX(n0x,MID(TEXT(A9,n0),5,1)+1,MID(TEXT(A9,n0),6,1)+1)&amp;IF(-MID(TEXT(A9,n0),4,3),"миллион"&amp;VLOOKUP(MID(TEXT(A9,n0),6,1)*AND(MID(TEXT(A9,n0),5,1)-1),мил,2),"")&amp;INDEX(n_4,MID(TEXT(A9,n0),7,1)+1)&amp;INDEX(n1x,MID(TEXT(A9,n0),8,1)+1,MID(TEXT(A9,n0),9,1)+1)&amp;IF(-MID(TEXT(A9,n0),7,3),VLOOKUP(MID(TEXT(A9,n0),9,1)*AND(MID(TEXT(A9,n0),8,1)-1),тыс,2),"")&amp;INDEX(n_4,MID(TEXT(A9,n0),10,1)+1)&amp;INDEX(IF(-MID(TEXT(A9,n0),14,6),n1x,n0x),MID(TEXT(A9,n0),11,1)+1,MID(TEXT(A9,n0),12,1)+1)),"z"," ")&amp;IF(TRUNC(TEXT(A9,n0)),,"Ноль ")&amp;IF(-MID(TEXT(A9,n0),14,6),IF(MOD(MAX(MOD(MID(TEXT(A9,n0),11,2)-11,100),9),10),"целых ","целая ")&amp;SUBSTITUTE(INDEX(n_4,MID(TEXT(A9,n0),14,6)/10^5+1)&amp;INDEX(n1x,MOD(MID(TEXT(A9,n0),14,6)/10^4,10)+1,MOD(MID(TEXT(A9,n0),14,6)/1000,10)+1)&amp;IF(INT(MID(TEXT(A9,n0),14,6)/1000),VLOOKUP(MOD(MID(TEXT(A9,n0),14,6)/1000,10)*(MOD(INT(MID(TEXT(A9,n0),14,6)/10^4),10)&lt;&gt;1),тыс,2),"")&amp;INDEX(n_4,MOD(MID(TEXT(A9,n0),14,6)/100,10)+1)&amp;INDEX(n1x,MOD(MID(TEXT(A9,n0),14,6)/10,10)+1,MOD(MID(TEXT(A9,n0),14,6),10)+1),"z"," ")&amp;INDEX(доля,LEN(MID(TEXT(A9,n0),14,6)),(MOD(MAX(MOD(MID(TEXT(A9,n0),14,6)-11,100),9),10)&gt;0)+1),)</f>
        <v>Пять целых одна тысяча сто двадцать три десятитысячных</v>
      </c>
      <c r="P9" s="5"/>
    </row>
    <row r="10" spans="1:16" x14ac:dyDescent="0.2">
      <c r="A10" s="8">
        <v>10.12345</v>
      </c>
      <c r="B10" s="5" t="str">
        <f>SUBSTITUTE(PROPER(INDEX(n_4,MID(TEXT(A10,n0),1,1)+1)&amp;INDEX(n0x,MID(TEXT(A10,n0),2,1)+1,MID(TEXT(A10,n0),3,1)+1)&amp;IF(-MID(TEXT(A10,n0),1,3),"миллиард"&amp;VLOOKUP(MID(TEXT(A10,n0),3,1)*AND(MID(TEXT(A10,n0),2,1)-1),мил,2),"")&amp;INDEX(n_4,MID(TEXT(A10,n0),4,1)+1)&amp;INDEX(n0x,MID(TEXT(A10,n0),5,1)+1,MID(TEXT(A10,n0),6,1)+1)&amp;IF(-MID(TEXT(A10,n0),4,3),"миллион"&amp;VLOOKUP(MID(TEXT(A10,n0),6,1)*AND(MID(TEXT(A10,n0),5,1)-1),мил,2),"")&amp;INDEX(n_4,MID(TEXT(A10,n0),7,1)+1)&amp;INDEX(n1x,MID(TEXT(A10,n0),8,1)+1,MID(TEXT(A10,n0),9,1)+1)&amp;IF(-MID(TEXT(A10,n0),7,3),VLOOKUP(MID(TEXT(A10,n0),9,1)*AND(MID(TEXT(A10,n0),8,1)-1),тыс,2),"")&amp;INDEX(n_4,MID(TEXT(A10,n0),10,1)+1)&amp;INDEX(IF(-MID(TEXT(A10,n0),14,6),n1x,n0x),MID(TEXT(A10,n0),11,1)+1,MID(TEXT(A10,n0),12,1)+1)),"z"," ")&amp;IF(TRUNC(TEXT(A10,n0)),,"Ноль ")&amp;IF(-MID(TEXT(A10,n0),14,6),IF(MOD(MAX(MOD(MID(TEXT(A10,n0),11,2)-11,100),9),10),"целых ","целая ")&amp;SUBSTITUTE(INDEX(n_4,MID(TEXT(A10,n0),14,6)/10^5+1)&amp;INDEX(n1x,MOD(MID(TEXT(A10,n0),14,6)/10^4,10)+1,MOD(MID(TEXT(A10,n0),14,6)/1000,10)+1)&amp;IF(INT(MID(TEXT(A10,n0),14,6)/1000),VLOOKUP(MOD(MID(TEXT(A10,n0),14,6)/1000,10)*(MOD(INT(MID(TEXT(A10,n0),14,6)/10^4),10)&lt;&gt;1),тыс,2),"")&amp;INDEX(n_4,MOD(MID(TEXT(A10,n0),14,6)/100,10)+1)&amp;INDEX(n1x,MOD(MID(TEXT(A10,n0),14,6)/10,10)+1,MOD(MID(TEXT(A10,n0),14,6),10)+1),"z"," ")&amp;INDEX(доля,LEN(MID(TEXT(A10,n0),14,6)),(MOD(MAX(MOD(MID(TEXT(A10,n0),14,6)-11,100),9),10)&gt;0)+1),)</f>
        <v>Десять целых двенадцать тысяч триста сорок пять стотысячных</v>
      </c>
      <c r="P10" s="5"/>
    </row>
    <row r="11" spans="1:16" x14ac:dyDescent="0.2">
      <c r="A11" s="8">
        <v>11.213450999999999</v>
      </c>
      <c r="B11" s="5" t="str">
        <f>SUBSTITUTE(PROPER(INDEX(n_4,MID(TEXT(A11,n0),1,1)+1)&amp;INDEX(n0x,MID(TEXT(A11,n0),2,1)+1,MID(TEXT(A11,n0),3,1)+1)&amp;IF(-MID(TEXT(A11,n0),1,3),"миллиард"&amp;VLOOKUP(MID(TEXT(A11,n0),3,1)*AND(MID(TEXT(A11,n0),2,1)-1),мил,2),"")&amp;INDEX(n_4,MID(TEXT(A11,n0),4,1)+1)&amp;INDEX(n0x,MID(TEXT(A11,n0),5,1)+1,MID(TEXT(A11,n0),6,1)+1)&amp;IF(-MID(TEXT(A11,n0),4,3),"миллион"&amp;VLOOKUP(MID(TEXT(A11,n0),6,1)*AND(MID(TEXT(A11,n0),5,1)-1),мил,2),"")&amp;INDEX(n_4,MID(TEXT(A11,n0),7,1)+1)&amp;INDEX(n1x,MID(TEXT(A11,n0),8,1)+1,MID(TEXT(A11,n0),9,1)+1)&amp;IF(-MID(TEXT(A11,n0),7,3),VLOOKUP(MID(TEXT(A11,n0),9,1)*AND(MID(TEXT(A11,n0),8,1)-1),тыс,2),"")&amp;INDEX(n_4,MID(TEXT(A11,n0),10,1)+1)&amp;INDEX(IF(-MID(TEXT(A11,n0),14,6),n1x,n0x),MID(TEXT(A11,n0),11,1)+1,MID(TEXT(A11,n0),12,1)+1)),"z"," ")&amp;IF(TRUNC(TEXT(A11,n0)),,"Ноль ")&amp;IF(-MID(TEXT(A11,n0),14,6),IF(MOD(MAX(MOD(MID(TEXT(A11,n0),11,2)-11,100),9),10),"целых ","целая ")&amp;SUBSTITUTE(INDEX(n_4,MID(TEXT(A11,n0),14,6)/10^5+1)&amp;INDEX(n1x,MOD(MID(TEXT(A11,n0),14,6)/10^4,10)+1,MOD(MID(TEXT(A11,n0),14,6)/1000,10)+1)&amp;IF(INT(MID(TEXT(A11,n0),14,6)/1000),VLOOKUP(MOD(MID(TEXT(A11,n0),14,6)/1000,10)*(MOD(INT(MID(TEXT(A11,n0),14,6)/10^4),10)&lt;&gt;1),тыс,2),"")&amp;INDEX(n_4,MOD(MID(TEXT(A11,n0),14,6)/100,10)+1)&amp;INDEX(n1x,MOD(MID(TEXT(A11,n0),14,6)/10,10)+1,MOD(MID(TEXT(A11,n0),14,6),10)+1),"z"," ")&amp;INDEX(доля,LEN(MID(TEXT(A11,n0),14,6)),(MOD(MAX(MOD(MID(TEXT(A11,n0),14,6)-11,100),9),10)&gt;0)+1),)</f>
        <v xml:space="preserve">Одиннадцать целых двести тринадцать тысяч четыреста пятьдесят одна миллионная </v>
      </c>
      <c r="P11" s="5"/>
    </row>
    <row r="12" spans="1:16" x14ac:dyDescent="0.2">
      <c r="A12" s="8">
        <v>12.43456789</v>
      </c>
      <c r="B12" s="5" t="str">
        <f>SUBSTITUTE(PROPER(INDEX(n_4,MID(TEXT(A12,n0),1,1)+1)&amp;INDEX(n0x,MID(TEXT(A12,n0),2,1)+1,MID(TEXT(A12,n0),3,1)+1)&amp;IF(-MID(TEXT(A12,n0),1,3),"миллиард"&amp;VLOOKUP(MID(TEXT(A12,n0),3,1)*AND(MID(TEXT(A12,n0),2,1)-1),мил,2),"")&amp;INDEX(n_4,MID(TEXT(A12,n0),4,1)+1)&amp;INDEX(n0x,MID(TEXT(A12,n0),5,1)+1,MID(TEXT(A12,n0),6,1)+1)&amp;IF(-MID(TEXT(A12,n0),4,3),"миллион"&amp;VLOOKUP(MID(TEXT(A12,n0),6,1)*AND(MID(TEXT(A12,n0),5,1)-1),мил,2),"")&amp;INDEX(n_4,MID(TEXT(A12,n0),7,1)+1)&amp;INDEX(n1x,MID(TEXT(A12,n0),8,1)+1,MID(TEXT(A12,n0),9,1)+1)&amp;IF(-MID(TEXT(A12,n0),7,3),VLOOKUP(MID(TEXT(A12,n0),9,1)*AND(MID(TEXT(A12,n0),8,1)-1),тыс,2),"")&amp;INDEX(n_4,MID(TEXT(A12,n0),10,1)+1)&amp;INDEX(IF(-MID(TEXT(A12,n0),14,6),n1x,n0x),MID(TEXT(A12,n0),11,1)+1,MID(TEXT(A12,n0),12,1)+1)),"z"," ")&amp;IF(TRUNC(TEXT(A12,n0)),,"Ноль ")&amp;IF(-MID(TEXT(A12,n0),14,6),IF(MOD(MAX(MOD(MID(TEXT(A12,n0),11,2)-11,100),9),10),"целых ","целая ")&amp;SUBSTITUTE(INDEX(n_4,MID(TEXT(A12,n0),14,6)/10^5+1)&amp;INDEX(n1x,MOD(MID(TEXT(A12,n0),14,6)/10^4,10)+1,MOD(MID(TEXT(A12,n0),14,6)/1000,10)+1)&amp;IF(INT(MID(TEXT(A12,n0),14,6)/1000),VLOOKUP(MOD(MID(TEXT(A12,n0),14,6)/1000,10)*(MOD(INT(MID(TEXT(A12,n0),14,6)/10^4),10)&lt;&gt;1),тыс,2),"")&amp;INDEX(n_4,MOD(MID(TEXT(A12,n0),14,6)/100,10)+1)&amp;INDEX(n1x,MOD(MID(TEXT(A12,n0),14,6)/10,10)+1,MOD(MID(TEXT(A12,n0),14,6),10)+1),"z"," ")&amp;INDEX(доля,LEN(MID(TEXT(A12,n0),14,6)),(MOD(MAX(MOD(MID(TEXT(A12,n0),14,6)-11,100),9),10)&gt;0)+1),)</f>
        <v>Двенадцать целых четыреста тридцать четыре тысячи пятьсот шестьдесят восемь миллионных</v>
      </c>
      <c r="P12" s="5"/>
    </row>
    <row r="13" spans="1:16" x14ac:dyDescent="0.2">
      <c r="A13" s="8">
        <v>1.2999999999</v>
      </c>
      <c r="B13" s="5" t="str">
        <f>SUBSTITUTE(PROPER(INDEX(n_4,MID(TEXT(A13,n0),1,1)+1)&amp;INDEX(n0x,MID(TEXT(A13,n0),2,1)+1,MID(TEXT(A13,n0),3,1)+1)&amp;IF(-MID(TEXT(A13,n0),1,3),"миллиард"&amp;VLOOKUP(MID(TEXT(A13,n0),3,1)*AND(MID(TEXT(A13,n0),2,1)-1),мил,2),"")&amp;INDEX(n_4,MID(TEXT(A13,n0),4,1)+1)&amp;INDEX(n0x,MID(TEXT(A13,n0),5,1)+1,MID(TEXT(A13,n0),6,1)+1)&amp;IF(-MID(TEXT(A13,n0),4,3),"миллион"&amp;VLOOKUP(MID(TEXT(A13,n0),6,1)*AND(MID(TEXT(A13,n0),5,1)-1),мил,2),"")&amp;INDEX(n_4,MID(TEXT(A13,n0),7,1)+1)&amp;INDEX(n1x,MID(TEXT(A13,n0),8,1)+1,MID(TEXT(A13,n0),9,1)+1)&amp;IF(-MID(TEXT(A13,n0),7,3),VLOOKUP(MID(TEXT(A13,n0),9,1)*AND(MID(TEXT(A13,n0),8,1)-1),тыс,2),"")&amp;INDEX(n_4,MID(TEXT(A13,n0),10,1)+1)&amp;INDEX(IF(-MID(TEXT(A13,n0),14,6),n1x,n0x),MID(TEXT(A13,n0),11,1)+1,MID(TEXT(A13,n0),12,1)+1)),"z"," ")&amp;IF(TRUNC(TEXT(A13,n0)),,"Ноль ")&amp;IF(-MID(TEXT(A13,n0),14,6),IF(MOD(MAX(MOD(MID(TEXT(A13,n0),11,2)-11,100),9),10),"целых ","целая ")&amp;SUBSTITUTE(INDEX(n_4,MID(TEXT(A13,n0),14,6)/10^5+1)&amp;INDEX(n1x,MOD(MID(TEXT(A13,n0),14,6)/10^4,10)+1,MOD(MID(TEXT(A13,n0),14,6)/1000,10)+1)&amp;IF(INT(MID(TEXT(A13,n0),14,6)/1000),VLOOKUP(MOD(MID(TEXT(A13,n0),14,6)/1000,10)*(MOD(INT(MID(TEXT(A13,n0),14,6)/10^4),10)&lt;&gt;1),тыс,2),"")&amp;INDEX(n_4,MOD(MID(TEXT(A13,n0),14,6)/100,10)+1)&amp;INDEX(n1x,MOD(MID(TEXT(A13,n0),14,6)/10,10)+1,MOD(MID(TEXT(A13,n0),14,6),10)+1),"z"," ")&amp;INDEX(доля,LEN(MID(TEXT(A13,n0),14,6)),(MOD(MAX(MOD(MID(TEXT(A13,n0),14,6)-11,100),9),10)&gt;0)+1),)</f>
        <v>Одна целая три десятых</v>
      </c>
      <c r="P13" s="5"/>
    </row>
    <row r="14" spans="1:16" x14ac:dyDescent="0.2">
      <c r="A14" s="8">
        <v>0.1234567891011</v>
      </c>
      <c r="B14" s="5" t="str">
        <f>SUBSTITUTE(PROPER(INDEX(n_4,MID(TEXT(A14,n0),1,1)+1)&amp;INDEX(n0x,MID(TEXT(A14,n0),2,1)+1,MID(TEXT(A14,n0),3,1)+1)&amp;IF(-MID(TEXT(A14,n0),1,3),"миллиард"&amp;VLOOKUP(MID(TEXT(A14,n0),3,1)*AND(MID(TEXT(A14,n0),2,1)-1),мил,2),"")&amp;INDEX(n_4,MID(TEXT(A14,n0),4,1)+1)&amp;INDEX(n0x,MID(TEXT(A14,n0),5,1)+1,MID(TEXT(A14,n0),6,1)+1)&amp;IF(-MID(TEXT(A14,n0),4,3),"миллион"&amp;VLOOKUP(MID(TEXT(A14,n0),6,1)*AND(MID(TEXT(A14,n0),5,1)-1),мил,2),"")&amp;INDEX(n_4,MID(TEXT(A14,n0),7,1)+1)&amp;INDEX(n1x,MID(TEXT(A14,n0),8,1)+1,MID(TEXT(A14,n0),9,1)+1)&amp;IF(-MID(TEXT(A14,n0),7,3),VLOOKUP(MID(TEXT(A14,n0),9,1)*AND(MID(TEXT(A14,n0),8,1)-1),тыс,2),"")&amp;INDEX(n_4,MID(TEXT(A14,n0),10,1)+1)&amp;INDEX(IF(-MID(TEXT(A14,n0),14,6),n1x,n0x),MID(TEXT(A14,n0),11,1)+1,MID(TEXT(A14,n0),12,1)+1)),"z"," ")&amp;IF(TRUNC(TEXT(A14,n0)),,"Ноль ")&amp;IF(-MID(TEXT(A14,n0),14,6),IF(MOD(MAX(MOD(MID(TEXT(A14,n0),11,2)-11,100),9),10),"целых ","целая ")&amp;SUBSTITUTE(INDEX(n_4,MID(TEXT(A14,n0),14,6)/10^5+1)&amp;INDEX(n1x,MOD(MID(TEXT(A14,n0),14,6)/10^4,10)+1,MOD(MID(TEXT(A14,n0),14,6)/1000,10)+1)&amp;IF(INT(MID(TEXT(A14,n0),14,6)/1000),VLOOKUP(MOD(MID(TEXT(A14,n0),14,6)/1000,10)*(MOD(INT(MID(TEXT(A14,n0),14,6)/10^4),10)&lt;&gt;1),тыс,2),"")&amp;INDEX(n_4,MOD(MID(TEXT(A14,n0),14,6)/100,10)+1)&amp;INDEX(n1x,MOD(MID(TEXT(A14,n0),14,6)/10,10)+1,MOD(MID(TEXT(A14,n0),14,6),10)+1),"z"," ")&amp;INDEX(доля,LEN(MID(TEXT(A14,n0),14,6)),(MOD(MAX(MOD(MID(TEXT(A14,n0),14,6)-11,100),9),10)&gt;0)+1),)</f>
        <v>Ноль целых сто двадцать три тысячи четыреста пятьдесят семь миллионных</v>
      </c>
      <c r="P14" s="5"/>
    </row>
    <row r="15" spans="1:16" x14ac:dyDescent="0.2">
      <c r="A15" s="8">
        <v>121</v>
      </c>
      <c r="B15" s="5" t="str">
        <f>SUBSTITUTE(PROPER(INDEX(n_4,MID(TEXT(A15,n0),1,1)+1)&amp;INDEX(n0x,MID(TEXT(A15,n0),2,1)+1,MID(TEXT(A15,n0),3,1)+1)&amp;IF(-MID(TEXT(A15,n0),1,3),"миллиард"&amp;VLOOKUP(MID(TEXT(A15,n0),3,1)*AND(MID(TEXT(A15,n0),2,1)-1),мил,2),"")&amp;INDEX(n_4,MID(TEXT(A15,n0),4,1)+1)&amp;INDEX(n0x,MID(TEXT(A15,n0),5,1)+1,MID(TEXT(A15,n0),6,1)+1)&amp;IF(-MID(TEXT(A15,n0),4,3),"миллион"&amp;VLOOKUP(MID(TEXT(A15,n0),6,1)*AND(MID(TEXT(A15,n0),5,1)-1),мил,2),"")&amp;INDEX(n_4,MID(TEXT(A15,n0),7,1)+1)&amp;INDEX(n1x,MID(TEXT(A15,n0),8,1)+1,MID(TEXT(A15,n0),9,1)+1)&amp;IF(-MID(TEXT(A15,n0),7,3),VLOOKUP(MID(TEXT(A15,n0),9,1)*AND(MID(TEXT(A15,n0),8,1)-1),тыс,2),"")&amp;INDEX(n_4,MID(TEXT(A15,n0),10,1)+1)&amp;INDEX(IF(-MID(TEXT(A15,n0),14,6),n1x,n0x),MID(TEXT(A15,n0),11,1)+1,MID(TEXT(A15,n0),12,1)+1)),"z"," ")&amp;IF(TRUNC(TEXT(A15,n0)),,"Ноль ")&amp;IF(-MID(TEXT(A15,n0),14,6),IF(MOD(MAX(MOD(MID(TEXT(A15,n0),11,2)-11,100),9),10),"целых ","целая ")&amp;SUBSTITUTE(INDEX(n_4,MID(TEXT(A15,n0),14,6)/10^5+1)&amp;INDEX(n1x,MOD(MID(TEXT(A15,n0),14,6)/10^4,10)+1,MOD(MID(TEXT(A15,n0),14,6)/1000,10)+1)&amp;IF(INT(MID(TEXT(A15,n0),14,6)/1000),VLOOKUP(MOD(MID(TEXT(A15,n0),14,6)/1000,10)*(MOD(INT(MID(TEXT(A15,n0),14,6)/10^4),10)&lt;&gt;1),тыс,2),"")&amp;INDEX(n_4,MOD(MID(TEXT(A15,n0),14,6)/100,10)+1)&amp;INDEX(n1x,MOD(MID(TEXT(A15,n0),14,6)/10,10)+1,MOD(MID(TEXT(A15,n0),14,6),10)+1),"z"," ")&amp;INDEX(доля,LEN(MID(TEXT(A15,n0),14,6)),(MOD(MAX(MOD(MID(TEXT(A15,n0),14,6)-11,100),9),10)&gt;0)+1),)</f>
        <v xml:space="preserve">Сто двадцать один </v>
      </c>
      <c r="P15" s="5"/>
    </row>
    <row r="16" spans="1:16" x14ac:dyDescent="0.2">
      <c r="A16" s="8">
        <v>121.22</v>
      </c>
      <c r="B16" s="5" t="str">
        <f>SUBSTITUTE(PROPER(INDEX(n_4,MID(TEXT(A16,n0),1,1)+1)&amp;INDEX(n0x,MID(TEXT(A16,n0),2,1)+1,MID(TEXT(A16,n0),3,1)+1)&amp;IF(-MID(TEXT(A16,n0),1,3),"миллиард"&amp;VLOOKUP(MID(TEXT(A16,n0),3,1)*AND(MID(TEXT(A16,n0),2,1)-1),мил,2),"")&amp;INDEX(n_4,MID(TEXT(A16,n0),4,1)+1)&amp;INDEX(n0x,MID(TEXT(A16,n0),5,1)+1,MID(TEXT(A16,n0),6,1)+1)&amp;IF(-MID(TEXT(A16,n0),4,3),"миллион"&amp;VLOOKUP(MID(TEXT(A16,n0),6,1)*AND(MID(TEXT(A16,n0),5,1)-1),мил,2),"")&amp;INDEX(n_4,MID(TEXT(A16,n0),7,1)+1)&amp;INDEX(n1x,MID(TEXT(A16,n0),8,1)+1,MID(TEXT(A16,n0),9,1)+1)&amp;IF(-MID(TEXT(A16,n0),7,3),VLOOKUP(MID(TEXT(A16,n0),9,1)*AND(MID(TEXT(A16,n0),8,1)-1),тыс,2),"")&amp;INDEX(n_4,MID(TEXT(A16,n0),10,1)+1)&amp;INDEX(IF(-MID(TEXT(A16,n0),14,6),n1x,n0x),MID(TEXT(A16,n0),11,1)+1,MID(TEXT(A16,n0),12,1)+1)),"z"," ")&amp;IF(TRUNC(TEXT(A16,n0)),,"Ноль ")&amp;IF(-MID(TEXT(A16,n0),14,6),IF(MOD(MAX(MOD(MID(TEXT(A16,n0),11,2)-11,100),9),10),"целых ","целая ")&amp;SUBSTITUTE(INDEX(n_4,MID(TEXT(A16,n0),14,6)/10^5+1)&amp;INDEX(n1x,MOD(MID(TEXT(A16,n0),14,6)/10^4,10)+1,MOD(MID(TEXT(A16,n0),14,6)/1000,10)+1)&amp;IF(INT(MID(TEXT(A16,n0),14,6)/1000),VLOOKUP(MOD(MID(TEXT(A16,n0),14,6)/1000,10)*(MOD(INT(MID(TEXT(A16,n0),14,6)/10^4),10)&lt;&gt;1),тыс,2),"")&amp;INDEX(n_4,MOD(MID(TEXT(A16,n0),14,6)/100,10)+1)&amp;INDEX(n1x,MOD(MID(TEXT(A16,n0),14,6)/10,10)+1,MOD(MID(TEXT(A16,n0),14,6),10)+1),"z"," ")&amp;INDEX(доля,LEN(MID(TEXT(A16,n0),14,6)),(MOD(MAX(MOD(MID(TEXT(A16,n0),14,6)-11,100),9),10)&gt;0)+1),)</f>
        <v>Сто двадцать одна целая двадцать две сотых</v>
      </c>
      <c r="P16" s="5"/>
    </row>
    <row r="17" spans="1:16" x14ac:dyDescent="0.2">
      <c r="A17" s="8">
        <v>1000.16</v>
      </c>
      <c r="B17" s="5" t="str">
        <f>SUBSTITUTE(PROPER(INDEX(n_4,MID(TEXT(A17,n0),1,1)+1)&amp;INDEX(n0x,MID(TEXT(A17,n0),2,1)+1,MID(TEXT(A17,n0),3,1)+1)&amp;IF(-MID(TEXT(A17,n0),1,3),"миллиард"&amp;VLOOKUP(MID(TEXT(A17,n0),3,1)*AND(MID(TEXT(A17,n0),2,1)-1),мил,2),"")&amp;INDEX(n_4,MID(TEXT(A17,n0),4,1)+1)&amp;INDEX(n0x,MID(TEXT(A17,n0),5,1)+1,MID(TEXT(A17,n0),6,1)+1)&amp;IF(-MID(TEXT(A17,n0),4,3),"миллион"&amp;VLOOKUP(MID(TEXT(A17,n0),6,1)*AND(MID(TEXT(A17,n0),5,1)-1),мил,2),"")&amp;INDEX(n_4,MID(TEXT(A17,n0),7,1)+1)&amp;INDEX(n1x,MID(TEXT(A17,n0),8,1)+1,MID(TEXT(A17,n0),9,1)+1)&amp;IF(-MID(TEXT(A17,n0),7,3),VLOOKUP(MID(TEXT(A17,n0),9,1)*AND(MID(TEXT(A17,n0),8,1)-1),тыс,2),"")&amp;INDEX(n_4,MID(TEXT(A17,n0),10,1)+1)&amp;INDEX(IF(-MID(TEXT(A17,n0),14,6),n1x,n0x),MID(TEXT(A17,n0),11,1)+1,MID(TEXT(A17,n0),12,1)+1)),"z"," ")&amp;IF(TRUNC(TEXT(A17,n0)),,"Ноль ")&amp;IF(-MID(TEXT(A17,n0),14,6),IF(MOD(MAX(MOD(MID(TEXT(A17,n0),11,2)-11,100),9),10),"целых ","целая ")&amp;SUBSTITUTE(INDEX(n_4,MID(TEXT(A17,n0),14,6)/10^5+1)&amp;INDEX(n1x,MOD(MID(TEXT(A17,n0),14,6)/10^4,10)+1,MOD(MID(TEXT(A17,n0),14,6)/1000,10)+1)&amp;IF(INT(MID(TEXT(A17,n0),14,6)/1000),VLOOKUP(MOD(MID(TEXT(A17,n0),14,6)/1000,10)*(MOD(INT(MID(TEXT(A17,n0),14,6)/10^4),10)&lt;&gt;1),тыс,2),"")&amp;INDEX(n_4,MOD(MID(TEXT(A17,n0),14,6)/100,10)+1)&amp;INDEX(n1x,MOD(MID(TEXT(A17,n0),14,6)/10,10)+1,MOD(MID(TEXT(A17,n0),14,6),10)+1),"z"," ")&amp;INDEX(доля,LEN(MID(TEXT(A17,n0),14,6)),(MOD(MAX(MOD(MID(TEXT(A17,n0),14,6)-11,100),9),10)&gt;0)+1),)</f>
        <v>Одна тысяча целых шестнадцать сотых</v>
      </c>
      <c r="P17" s="5"/>
    </row>
    <row r="18" spans="1:16" x14ac:dyDescent="0.2">
      <c r="A18" s="8">
        <v>1002.51</v>
      </c>
      <c r="B18" s="5" t="str">
        <f>SUBSTITUTE(PROPER(INDEX(n_4,MID(TEXT(A18,n0),1,1)+1)&amp;INDEX(n0x,MID(TEXT(A18,n0),2,1)+1,MID(TEXT(A18,n0),3,1)+1)&amp;IF(-MID(TEXT(A18,n0),1,3),"миллиард"&amp;VLOOKUP(MID(TEXT(A18,n0),3,1)*AND(MID(TEXT(A18,n0),2,1)-1),мил,2),"")&amp;INDEX(n_4,MID(TEXT(A18,n0),4,1)+1)&amp;INDEX(n0x,MID(TEXT(A18,n0),5,1)+1,MID(TEXT(A18,n0),6,1)+1)&amp;IF(-MID(TEXT(A18,n0),4,3),"миллион"&amp;VLOOKUP(MID(TEXT(A18,n0),6,1)*AND(MID(TEXT(A18,n0),5,1)-1),мил,2),"")&amp;INDEX(n_4,MID(TEXT(A18,n0),7,1)+1)&amp;INDEX(n1x,MID(TEXT(A18,n0),8,1)+1,MID(TEXT(A18,n0),9,1)+1)&amp;IF(-MID(TEXT(A18,n0),7,3),VLOOKUP(MID(TEXT(A18,n0),9,1)*AND(MID(TEXT(A18,n0),8,1)-1),тыс,2),"")&amp;INDEX(n_4,MID(TEXT(A18,n0),10,1)+1)&amp;INDEX(IF(-MID(TEXT(A18,n0),14,6),n1x,n0x),MID(TEXT(A18,n0),11,1)+1,MID(TEXT(A18,n0),12,1)+1)),"z"," ")&amp;IF(TRUNC(TEXT(A18,n0)),,"Ноль ")&amp;IF(-MID(TEXT(A18,n0),14,6),IF(MOD(MAX(MOD(MID(TEXT(A18,n0),11,2)-11,100),9),10),"целых ","целая ")&amp;SUBSTITUTE(INDEX(n_4,MID(TEXT(A18,n0),14,6)/10^5+1)&amp;INDEX(n1x,MOD(MID(TEXT(A18,n0),14,6)/10^4,10)+1,MOD(MID(TEXT(A18,n0),14,6)/1000,10)+1)&amp;IF(INT(MID(TEXT(A18,n0),14,6)/1000),VLOOKUP(MOD(MID(TEXT(A18,n0),14,6)/1000,10)*(MOD(INT(MID(TEXT(A18,n0),14,6)/10^4),10)&lt;&gt;1),тыс,2),"")&amp;INDEX(n_4,MOD(MID(TEXT(A18,n0),14,6)/100,10)+1)&amp;INDEX(n1x,MOD(MID(TEXT(A18,n0),14,6)/10,10)+1,MOD(MID(TEXT(A18,n0),14,6),10)+1),"z"," ")&amp;INDEX(доля,LEN(MID(TEXT(A18,n0),14,6)),(MOD(MAX(MOD(MID(TEXT(A18,n0),14,6)-11,100),9),10)&gt;0)+1),)</f>
        <v>Одна тысяча две целых пятьдесят одна сотая</v>
      </c>
      <c r="P18" s="5"/>
    </row>
    <row r="19" spans="1:16" x14ac:dyDescent="0.2">
      <c r="A19" s="8">
        <v>120101.1</v>
      </c>
      <c r="B19" s="5" t="str">
        <f>SUBSTITUTE(PROPER(INDEX(n_4,MID(TEXT(A19,n0),1,1)+1)&amp;INDEX(n0x,MID(TEXT(A19,n0),2,1)+1,MID(TEXT(A19,n0),3,1)+1)&amp;IF(-MID(TEXT(A19,n0),1,3),"миллиард"&amp;VLOOKUP(MID(TEXT(A19,n0),3,1)*AND(MID(TEXT(A19,n0),2,1)-1),мил,2),"")&amp;INDEX(n_4,MID(TEXT(A19,n0),4,1)+1)&amp;INDEX(n0x,MID(TEXT(A19,n0),5,1)+1,MID(TEXT(A19,n0),6,1)+1)&amp;IF(-MID(TEXT(A19,n0),4,3),"миллион"&amp;VLOOKUP(MID(TEXT(A19,n0),6,1)*AND(MID(TEXT(A19,n0),5,1)-1),мил,2),"")&amp;INDEX(n_4,MID(TEXT(A19,n0),7,1)+1)&amp;INDEX(n1x,MID(TEXT(A19,n0),8,1)+1,MID(TEXT(A19,n0),9,1)+1)&amp;IF(-MID(TEXT(A19,n0),7,3),VLOOKUP(MID(TEXT(A19,n0),9,1)*AND(MID(TEXT(A19,n0),8,1)-1),тыс,2),"")&amp;INDEX(n_4,MID(TEXT(A19,n0),10,1)+1)&amp;INDEX(IF(-MID(TEXT(A19,n0),14,6),n1x,n0x),MID(TEXT(A19,n0),11,1)+1,MID(TEXT(A19,n0),12,1)+1)),"z"," ")&amp;IF(TRUNC(TEXT(A19,n0)),,"Ноль ")&amp;IF(-MID(TEXT(A19,n0),14,6),IF(MOD(MAX(MOD(MID(TEXT(A19,n0),11,2)-11,100),9),10),"целых ","целая ")&amp;SUBSTITUTE(INDEX(n_4,MID(TEXT(A19,n0),14,6)/10^5+1)&amp;INDEX(n1x,MOD(MID(TEXT(A19,n0),14,6)/10^4,10)+1,MOD(MID(TEXT(A19,n0),14,6)/1000,10)+1)&amp;IF(INT(MID(TEXT(A19,n0),14,6)/1000),VLOOKUP(MOD(MID(TEXT(A19,n0),14,6)/1000,10)*(MOD(INT(MID(TEXT(A19,n0),14,6)/10^4),10)&lt;&gt;1),тыс,2),"")&amp;INDEX(n_4,MOD(MID(TEXT(A19,n0),14,6)/100,10)+1)&amp;INDEX(n1x,MOD(MID(TEXT(A19,n0),14,6)/10,10)+1,MOD(MID(TEXT(A19,n0),14,6),10)+1),"z"," ")&amp;INDEX(доля,LEN(MID(TEXT(A19,n0),14,6)),(MOD(MAX(MOD(MID(TEXT(A19,n0),14,6)-11,100),9),10)&gt;0)+1),)</f>
        <v>Сто двадцать тысяч сто одна целая одна десятая</v>
      </c>
      <c r="P19" s="5"/>
    </row>
    <row r="20" spans="1:16" x14ac:dyDescent="0.2">
      <c r="A20" s="8">
        <v>2000000</v>
      </c>
      <c r="B20" s="5" t="str">
        <f>SUBSTITUTE(PROPER(INDEX(n_4,MID(TEXT(A20,n0),1,1)+1)&amp;INDEX(n0x,MID(TEXT(A20,n0),2,1)+1,MID(TEXT(A20,n0),3,1)+1)&amp;IF(-MID(TEXT(A20,n0),1,3),"миллиард"&amp;VLOOKUP(MID(TEXT(A20,n0),3,1)*AND(MID(TEXT(A20,n0),2,1)-1),мил,2),"")&amp;INDEX(n_4,MID(TEXT(A20,n0),4,1)+1)&amp;INDEX(n0x,MID(TEXT(A20,n0),5,1)+1,MID(TEXT(A20,n0),6,1)+1)&amp;IF(-MID(TEXT(A20,n0),4,3),"миллион"&amp;VLOOKUP(MID(TEXT(A20,n0),6,1)*AND(MID(TEXT(A20,n0),5,1)-1),мил,2),"")&amp;INDEX(n_4,MID(TEXT(A20,n0),7,1)+1)&amp;INDEX(n1x,MID(TEXT(A20,n0),8,1)+1,MID(TEXT(A20,n0),9,1)+1)&amp;IF(-MID(TEXT(A20,n0),7,3),VLOOKUP(MID(TEXT(A20,n0),9,1)*AND(MID(TEXT(A20,n0),8,1)-1),тыс,2),"")&amp;INDEX(n_4,MID(TEXT(A20,n0),10,1)+1)&amp;INDEX(IF(-MID(TEXT(A20,n0),14,6),n1x,n0x),MID(TEXT(A20,n0),11,1)+1,MID(TEXT(A20,n0),12,1)+1)),"z"," ")&amp;IF(TRUNC(TEXT(A20,n0)),,"Ноль ")&amp;IF(-MID(TEXT(A20,n0),14,6),IF(MOD(MAX(MOD(MID(TEXT(A20,n0),11,2)-11,100),9),10),"целых ","целая ")&amp;SUBSTITUTE(INDEX(n_4,MID(TEXT(A20,n0),14,6)/10^5+1)&amp;INDEX(n1x,MOD(MID(TEXT(A20,n0),14,6)/10^4,10)+1,MOD(MID(TEXT(A20,n0),14,6)/1000,10)+1)&amp;IF(INT(MID(TEXT(A20,n0),14,6)/1000),VLOOKUP(MOD(MID(TEXT(A20,n0),14,6)/1000,10)*(MOD(INT(MID(TEXT(A20,n0),14,6)/10^4),10)&lt;&gt;1),тыс,2),"")&amp;INDEX(n_4,MOD(MID(TEXT(A20,n0),14,6)/100,10)+1)&amp;INDEX(n1x,MOD(MID(TEXT(A20,n0),14,6)/10,10)+1,MOD(MID(TEXT(A20,n0),14,6),10)+1),"z"," ")&amp;INDEX(доля,LEN(MID(TEXT(A20,n0),14,6)),(MOD(MAX(MOD(MID(TEXT(A20,n0),14,6)-11,100),9),10)&gt;0)+1),)</f>
        <v xml:space="preserve">Два миллиона </v>
      </c>
      <c r="P20" s="5"/>
    </row>
    <row r="21" spans="1:16" x14ac:dyDescent="0.2">
      <c r="A21" s="8">
        <v>11102345.23</v>
      </c>
      <c r="B21" s="5" t="str">
        <f>SUBSTITUTE(PROPER(INDEX(n_4,MID(TEXT(A21,n0),1,1)+1)&amp;INDEX(n0x,MID(TEXT(A21,n0),2,1)+1,MID(TEXT(A21,n0),3,1)+1)&amp;IF(-MID(TEXT(A21,n0),1,3),"миллиард"&amp;VLOOKUP(MID(TEXT(A21,n0),3,1)*AND(MID(TEXT(A21,n0),2,1)-1),мил,2),"")&amp;INDEX(n_4,MID(TEXT(A21,n0),4,1)+1)&amp;INDEX(n0x,MID(TEXT(A21,n0),5,1)+1,MID(TEXT(A21,n0),6,1)+1)&amp;IF(-MID(TEXT(A21,n0),4,3),"миллион"&amp;VLOOKUP(MID(TEXT(A21,n0),6,1)*AND(MID(TEXT(A21,n0),5,1)-1),мил,2),"")&amp;INDEX(n_4,MID(TEXT(A21,n0),7,1)+1)&amp;INDEX(n1x,MID(TEXT(A21,n0),8,1)+1,MID(TEXT(A21,n0),9,1)+1)&amp;IF(-MID(TEXT(A21,n0),7,3),VLOOKUP(MID(TEXT(A21,n0),9,1)*AND(MID(TEXT(A21,n0),8,1)-1),тыс,2),"")&amp;INDEX(n_4,MID(TEXT(A21,n0),10,1)+1)&amp;INDEX(IF(-MID(TEXT(A21,n0),14,6),n1x,n0x),MID(TEXT(A21,n0),11,1)+1,MID(TEXT(A21,n0),12,1)+1)),"z"," ")&amp;IF(TRUNC(TEXT(A21,n0)),,"Ноль ")&amp;IF(-MID(TEXT(A21,n0),14,6),IF(MOD(MAX(MOD(MID(TEXT(A21,n0),11,2)-11,100),9),10),"целых ","целая ")&amp;SUBSTITUTE(INDEX(n_4,MID(TEXT(A21,n0),14,6)/10^5+1)&amp;INDEX(n1x,MOD(MID(TEXT(A21,n0),14,6)/10^4,10)+1,MOD(MID(TEXT(A21,n0),14,6)/1000,10)+1)&amp;IF(INT(MID(TEXT(A21,n0),14,6)/1000),VLOOKUP(MOD(MID(TEXT(A21,n0),14,6)/1000,10)*(MOD(INT(MID(TEXT(A21,n0),14,6)/10^4),10)&lt;&gt;1),тыс,2),"")&amp;INDEX(n_4,MOD(MID(TEXT(A21,n0),14,6)/100,10)+1)&amp;INDEX(n1x,MOD(MID(TEXT(A21,n0),14,6)/10,10)+1,MOD(MID(TEXT(A21,n0),14,6),10)+1),"z"," ")&amp;INDEX(доля,LEN(MID(TEXT(A21,n0),14,6)),(MOD(MAX(MOD(MID(TEXT(A21,n0),14,6)-11,100),9),10)&gt;0)+1),)</f>
        <v>Одиннадцать миллионов сто две тысячи триста сорок пять целых двадцать три сотых</v>
      </c>
      <c r="P21" s="5"/>
    </row>
    <row r="22" spans="1:16" x14ac:dyDescent="0.2">
      <c r="A22" s="8">
        <v>123456789.321234</v>
      </c>
      <c r="B22" s="5" t="str">
        <f>SUBSTITUTE(PROPER(INDEX(n_4,MID(TEXT(A22,n0),1,1)+1)&amp;INDEX(n0x,MID(TEXT(A22,n0),2,1)+1,MID(TEXT(A22,n0),3,1)+1)&amp;IF(-MID(TEXT(A22,n0),1,3),"миллиард"&amp;VLOOKUP(MID(TEXT(A22,n0),3,1)*AND(MID(TEXT(A22,n0),2,1)-1),мил,2),"")&amp;INDEX(n_4,MID(TEXT(A22,n0),4,1)+1)&amp;INDEX(n0x,MID(TEXT(A22,n0),5,1)+1,MID(TEXT(A22,n0),6,1)+1)&amp;IF(-MID(TEXT(A22,n0),4,3),"миллион"&amp;VLOOKUP(MID(TEXT(A22,n0),6,1)*AND(MID(TEXT(A22,n0),5,1)-1),мил,2),"")&amp;INDEX(n_4,MID(TEXT(A22,n0),7,1)+1)&amp;INDEX(n1x,MID(TEXT(A22,n0),8,1)+1,MID(TEXT(A22,n0),9,1)+1)&amp;IF(-MID(TEXT(A22,n0),7,3),VLOOKUP(MID(TEXT(A22,n0),9,1)*AND(MID(TEXT(A22,n0),8,1)-1),тыс,2),"")&amp;INDEX(n_4,MID(TEXT(A22,n0),10,1)+1)&amp;INDEX(IF(-MID(TEXT(A22,n0),14,6),n1x,n0x),MID(TEXT(A22,n0),11,1)+1,MID(TEXT(A22,n0),12,1)+1)),"z"," ")&amp;IF(TRUNC(TEXT(A22,n0)),,"Ноль ")&amp;IF(-MID(TEXT(A22,n0),14,6),IF(MOD(MAX(MOD(MID(TEXT(A22,n0),11,2)-11,100),9),10),"целых ","целая ")&amp;SUBSTITUTE(INDEX(n_4,MID(TEXT(A22,n0),14,6)/10^5+1)&amp;INDEX(n1x,MOD(MID(TEXT(A22,n0),14,6)/10^4,10)+1,MOD(MID(TEXT(A22,n0),14,6)/1000,10)+1)&amp;IF(INT(MID(TEXT(A22,n0),14,6)/1000),VLOOKUP(MOD(MID(TEXT(A22,n0),14,6)/1000,10)*(MOD(INT(MID(TEXT(A22,n0),14,6)/10^4),10)&lt;&gt;1),тыс,2),"")&amp;INDEX(n_4,MOD(MID(TEXT(A22,n0),14,6)/100,10)+1)&amp;INDEX(n1x,MOD(MID(TEXT(A22,n0),14,6)/10,10)+1,MOD(MID(TEXT(A22,n0),14,6),10)+1),"z"," ")&amp;INDEX(доля,LEN(MID(TEXT(A22,n0),14,6)),(MOD(MAX(MOD(MID(TEXT(A22,n0),14,6)-11,100),9),10)&gt;0)+1),)</f>
        <v>Сто двадцать три миллиона четыреста пятьдесят шесть тысяч семьсот восемьдесят девять целых триста двадцать одна тысяча двести тридцать четыре миллионных</v>
      </c>
      <c r="P22" s="5"/>
    </row>
    <row r="23" spans="1:16" x14ac:dyDescent="0.2">
      <c r="A23" s="11"/>
      <c r="B23" s="5"/>
    </row>
    <row r="24" spans="1:16" s="10" customFormat="1" x14ac:dyDescent="0.2">
      <c r="A24" s="12" t="s">
        <v>24</v>
      </c>
    </row>
    <row r="25" spans="1:16" x14ac:dyDescent="0.2">
      <c r="A25" s="8">
        <f ca="1">ROUND((RAND()*1000000),RAND()*9)</f>
        <v>190389.8</v>
      </c>
      <c r="B25" s="5" t="str">
        <f ca="1">SUBSTITUTE(PROPER(INDEX(n_4,MID(TEXT(A25,n0),1,1)+1)&amp;INDEX(n0x,MID(TEXT(A25,n0),2,1)+1,MID(TEXT(A25,n0),3,1)+1)&amp;IF(-MID(TEXT(A25,n0),1,3),"миллиард"&amp;VLOOKUP(MID(TEXT(A25,n0),3,1)*AND(MID(TEXT(A25,n0),2,1)-1),мил,2),"")&amp;INDEX(n_4,MID(TEXT(A25,n0),4,1)+1)&amp;INDEX(n0x,MID(TEXT(A25,n0),5,1)+1,MID(TEXT(A25,n0),6,1)+1)&amp;IF(-MID(TEXT(A25,n0),4,3),"миллион"&amp;VLOOKUP(MID(TEXT(A25,n0),6,1)*AND(MID(TEXT(A25,n0),5,1)-1),мил,2),"")&amp;INDEX(n_4,MID(TEXT(A25,n0),7,1)+1)&amp;INDEX(n1x,MID(TEXT(A25,n0),8,1)+1,MID(TEXT(A25,n0),9,1)+1)&amp;IF(-MID(TEXT(A25,n0),7,3),VLOOKUP(MID(TEXT(A25,n0),9,1)*AND(MID(TEXT(A25,n0),8,1)-1),тыс,2),"")&amp;INDEX(n_4,MID(TEXT(A25,n0),10,1)+1)&amp;INDEX(IF(-MID(TEXT(A25,n0),14,6),n1x,n0x),MID(TEXT(A25,n0),11,1)+1,MID(TEXT(A25,n0),12,1)+1)),"z"," ")&amp;IF(TRUNC(TEXT(A25,n0)),,"Ноль ")&amp;IF(-MID(TEXT(A25,n0),14,6),IF(MOD(MAX(MOD(MID(TEXT(A25,n0),11,2)-11,100),9),10),"целых ","целая ")&amp;SUBSTITUTE(INDEX(n_4,MID(TEXT(A25,n0),14,6)/10^5+1)&amp;INDEX(n1x,MOD(MID(TEXT(A25,n0),14,6)/10^4,10)+1,MOD(MID(TEXT(A25,n0),14,6)/1000,10)+1)&amp;IF(INT(MID(TEXT(A25,n0),14,6)/1000),VLOOKUP(MOD(MID(TEXT(A25,n0),14,6)/1000,10)*(MOD(INT(MID(TEXT(A25,n0),14,6)/10^4),10)&lt;&gt;1),тыс,2),"")&amp;INDEX(n_4,MOD(MID(TEXT(A25,n0),14,6)/100,10)+1)&amp;INDEX(n1x,MOD(MID(TEXT(A25,n0),14,6)/10,10)+1,MOD(MID(TEXT(A25,n0),14,6),10)+1),"z"," ")&amp;INDEX(доля,LEN(MID(TEXT(A25,n0),14,6)),(MOD(MAX(MOD(MID(TEXT(A25,n0),14,6)-11,100),9),10)&gt;0)+1),)</f>
        <v>Сто девяносто тысяч триста восемьдесят девять целых восемь десятых</v>
      </c>
      <c r="P25" s="5"/>
    </row>
    <row r="26" spans="1:16" x14ac:dyDescent="0.2">
      <c r="A26" s="8">
        <f ca="1">ROUND((RAND()*1000000),RAND()*9)</f>
        <v>907559.81854999997</v>
      </c>
      <c r="B26" s="5" t="str">
        <f ca="1">SUBSTITUTE(PROPER(INDEX(n_4,MID(TEXT(A26,n0),1,1)+1)&amp;INDEX(n0x,MID(TEXT(A26,n0),2,1)+1,MID(TEXT(A26,n0),3,1)+1)&amp;IF(-MID(TEXT(A26,n0),1,3),"миллиард"&amp;VLOOKUP(MID(TEXT(A26,n0),3,1)*AND(MID(TEXT(A26,n0),2,1)-1),мил,2),"")&amp;INDEX(n_4,MID(TEXT(A26,n0),4,1)+1)&amp;INDEX(n0x,MID(TEXT(A26,n0),5,1)+1,MID(TEXT(A26,n0),6,1)+1)&amp;IF(-MID(TEXT(A26,n0),4,3),"миллион"&amp;VLOOKUP(MID(TEXT(A26,n0),6,1)*AND(MID(TEXT(A26,n0),5,1)-1),мил,2),"")&amp;INDEX(n_4,MID(TEXT(A26,n0),7,1)+1)&amp;INDEX(n1x,MID(TEXT(A26,n0),8,1)+1,MID(TEXT(A26,n0),9,1)+1)&amp;IF(-MID(TEXT(A26,n0),7,3),VLOOKUP(MID(TEXT(A26,n0),9,1)*AND(MID(TEXT(A26,n0),8,1)-1),тыс,2),"")&amp;INDEX(n_4,MID(TEXT(A26,n0),10,1)+1)&amp;INDEX(IF(-MID(TEXT(A26,n0),14,6),n1x,n0x),MID(TEXT(A26,n0),11,1)+1,MID(TEXT(A26,n0),12,1)+1)),"z"," ")&amp;IF(TRUNC(TEXT(A26,n0)),,"Ноль ")&amp;IF(-MID(TEXT(A26,n0),14,6),IF(MOD(MAX(MOD(MID(TEXT(A26,n0),11,2)-11,100),9),10),"целых ","целая ")&amp;SUBSTITUTE(INDEX(n_4,MID(TEXT(A26,n0),14,6)/10^5+1)&amp;INDEX(n1x,MOD(MID(TEXT(A26,n0),14,6)/10^4,10)+1,MOD(MID(TEXT(A26,n0),14,6)/1000,10)+1)&amp;IF(INT(MID(TEXT(A26,n0),14,6)/1000),VLOOKUP(MOD(MID(TEXT(A26,n0),14,6)/1000,10)*(MOD(INT(MID(TEXT(A26,n0),14,6)/10^4),10)&lt;&gt;1),тыс,2),"")&amp;INDEX(n_4,MOD(MID(TEXT(A26,n0),14,6)/100,10)+1)&amp;INDEX(n1x,MOD(MID(TEXT(A26,n0),14,6)/10,10)+1,MOD(MID(TEXT(A26,n0),14,6),10)+1),"z"," ")&amp;INDEX(доля,LEN(MID(TEXT(A26,n0),14,6)),(MOD(MAX(MOD(MID(TEXT(A26,n0),14,6)-11,100),9),10)&gt;0)+1),)</f>
        <v>Девятьсот семь тысяч пятьсот пятьдесят девять целых восемьдесят одна тысяча восемьсот пятьдесят пять стотысячных</v>
      </c>
      <c r="P26" s="5"/>
    </row>
    <row r="27" spans="1:16" x14ac:dyDescent="0.2">
      <c r="A27" s="8">
        <f ca="1">ROUND((RAND()*1000000),RAND()*9)</f>
        <v>177076</v>
      </c>
      <c r="B27" s="5" t="str">
        <f ca="1">SUBSTITUTE(PROPER(INDEX(n_4,MID(TEXT(A27,n0),1,1)+1)&amp;INDEX(n0x,MID(TEXT(A27,n0),2,1)+1,MID(TEXT(A27,n0),3,1)+1)&amp;IF(-MID(TEXT(A27,n0),1,3),"миллиард"&amp;VLOOKUP(MID(TEXT(A27,n0),3,1)*AND(MID(TEXT(A27,n0),2,1)-1),мил,2),"")&amp;INDEX(n_4,MID(TEXT(A27,n0),4,1)+1)&amp;INDEX(n0x,MID(TEXT(A27,n0),5,1)+1,MID(TEXT(A27,n0),6,1)+1)&amp;IF(-MID(TEXT(A27,n0),4,3),"миллион"&amp;VLOOKUP(MID(TEXT(A27,n0),6,1)*AND(MID(TEXT(A27,n0),5,1)-1),мил,2),"")&amp;INDEX(n_4,MID(TEXT(A27,n0),7,1)+1)&amp;INDEX(n1x,MID(TEXT(A27,n0),8,1)+1,MID(TEXT(A27,n0),9,1)+1)&amp;IF(-MID(TEXT(A27,n0),7,3),VLOOKUP(MID(TEXT(A27,n0),9,1)*AND(MID(TEXT(A27,n0),8,1)-1),тыс,2),"")&amp;INDEX(n_4,MID(TEXT(A27,n0),10,1)+1)&amp;INDEX(IF(-MID(TEXT(A27,n0),14,6),n1x,n0x),MID(TEXT(A27,n0),11,1)+1,MID(TEXT(A27,n0),12,1)+1)),"z"," ")&amp;IF(TRUNC(TEXT(A27,n0)),,"Ноль ")&amp;IF(-MID(TEXT(A27,n0),14,6),IF(MOD(MAX(MOD(MID(TEXT(A27,n0),11,2)-11,100),9),10),"целых ","целая ")&amp;SUBSTITUTE(INDEX(n_4,MID(TEXT(A27,n0),14,6)/10^5+1)&amp;INDEX(n1x,MOD(MID(TEXT(A27,n0),14,6)/10^4,10)+1,MOD(MID(TEXT(A27,n0),14,6)/1000,10)+1)&amp;IF(INT(MID(TEXT(A27,n0),14,6)/1000),VLOOKUP(MOD(MID(TEXT(A27,n0),14,6)/1000,10)*(MOD(INT(MID(TEXT(A27,n0),14,6)/10^4),10)&lt;&gt;1),тыс,2),"")&amp;INDEX(n_4,MOD(MID(TEXT(A27,n0),14,6)/100,10)+1)&amp;INDEX(n1x,MOD(MID(TEXT(A27,n0),14,6)/10,10)+1,MOD(MID(TEXT(A27,n0),14,6),10)+1),"z"," ")&amp;INDEX(доля,LEN(MID(TEXT(A27,n0),14,6)),(MOD(MAX(MOD(MID(TEXT(A27,n0),14,6)-11,100),9),10)&gt;0)+1),)</f>
        <v xml:space="preserve">Сто семьдесят семь тысяч семьдесят шесть </v>
      </c>
      <c r="P27" s="5"/>
    </row>
    <row r="28" spans="1:16" x14ac:dyDescent="0.2">
      <c r="A28" s="8">
        <f ca="1">ROUND((RAND()*1000000),RAND()*9)</f>
        <v>78238.187999999995</v>
      </c>
      <c r="B28" s="5" t="str">
        <f ca="1">SUBSTITUTE(PROPER(INDEX(n_4,MID(TEXT(A28,n0),1,1)+1)&amp;INDEX(n0x,MID(TEXT(A28,n0),2,1)+1,MID(TEXT(A28,n0),3,1)+1)&amp;IF(-MID(TEXT(A28,n0),1,3),"миллиард"&amp;VLOOKUP(MID(TEXT(A28,n0),3,1)*AND(MID(TEXT(A28,n0),2,1)-1),мил,2),"")&amp;INDEX(n_4,MID(TEXT(A28,n0),4,1)+1)&amp;INDEX(n0x,MID(TEXT(A28,n0),5,1)+1,MID(TEXT(A28,n0),6,1)+1)&amp;IF(-MID(TEXT(A28,n0),4,3),"миллион"&amp;VLOOKUP(MID(TEXT(A28,n0),6,1)*AND(MID(TEXT(A28,n0),5,1)-1),мил,2),"")&amp;INDEX(n_4,MID(TEXT(A28,n0),7,1)+1)&amp;INDEX(n1x,MID(TEXT(A28,n0),8,1)+1,MID(TEXT(A28,n0),9,1)+1)&amp;IF(-MID(TEXT(A28,n0),7,3),VLOOKUP(MID(TEXT(A28,n0),9,1)*AND(MID(TEXT(A28,n0),8,1)-1),тыс,2),"")&amp;INDEX(n_4,MID(TEXT(A28,n0),10,1)+1)&amp;INDEX(IF(-MID(TEXT(A28,n0),14,6),n1x,n0x),MID(TEXT(A28,n0),11,1)+1,MID(TEXT(A28,n0),12,1)+1)),"z"," ")&amp;IF(TRUNC(TEXT(A28,n0)),,"Ноль ")&amp;IF(-MID(TEXT(A28,n0),14,6),IF(MOD(MAX(MOD(MID(TEXT(A28,n0),11,2)-11,100),9),10),"целых ","целая ")&amp;SUBSTITUTE(INDEX(n_4,MID(TEXT(A28,n0),14,6)/10^5+1)&amp;INDEX(n1x,MOD(MID(TEXT(A28,n0),14,6)/10^4,10)+1,MOD(MID(TEXT(A28,n0),14,6)/1000,10)+1)&amp;IF(INT(MID(TEXT(A28,n0),14,6)/1000),VLOOKUP(MOD(MID(TEXT(A28,n0),14,6)/1000,10)*(MOD(INT(MID(TEXT(A28,n0),14,6)/10^4),10)&lt;&gt;1),тыс,2),"")&amp;INDEX(n_4,MOD(MID(TEXT(A28,n0),14,6)/100,10)+1)&amp;INDEX(n1x,MOD(MID(TEXT(A28,n0),14,6)/10,10)+1,MOD(MID(TEXT(A28,n0),14,6),10)+1),"z"," ")&amp;INDEX(доля,LEN(MID(TEXT(A28,n0),14,6)),(MOD(MAX(MOD(MID(TEXT(A28,n0),14,6)-11,100),9),10)&gt;0)+1),)</f>
        <v>Семьдесят восемь тысяч двести тридцать восемь целых сто восемьдесят восемь тысячных</v>
      </c>
      <c r="P28" s="5"/>
    </row>
    <row r="29" spans="1:16" x14ac:dyDescent="0.2">
      <c r="A29" s="8">
        <f ca="1">ROUND((RAND()*1000000),RAND()*9)</f>
        <v>853982.58100000001</v>
      </c>
      <c r="B29" s="5" t="str">
        <f ca="1">SUBSTITUTE(PROPER(INDEX(n_4,MID(TEXT(A29,n0),1,1)+1)&amp;INDEX(n0x,MID(TEXT(A29,n0),2,1)+1,MID(TEXT(A29,n0),3,1)+1)&amp;IF(-MID(TEXT(A29,n0),1,3),"миллиард"&amp;VLOOKUP(MID(TEXT(A29,n0),3,1)*AND(MID(TEXT(A29,n0),2,1)-1),мил,2),"")&amp;INDEX(n_4,MID(TEXT(A29,n0),4,1)+1)&amp;INDEX(n0x,MID(TEXT(A29,n0),5,1)+1,MID(TEXT(A29,n0),6,1)+1)&amp;IF(-MID(TEXT(A29,n0),4,3),"миллион"&amp;VLOOKUP(MID(TEXT(A29,n0),6,1)*AND(MID(TEXT(A29,n0),5,1)-1),мил,2),"")&amp;INDEX(n_4,MID(TEXT(A29,n0),7,1)+1)&amp;INDEX(n1x,MID(TEXT(A29,n0),8,1)+1,MID(TEXT(A29,n0),9,1)+1)&amp;IF(-MID(TEXT(A29,n0),7,3),VLOOKUP(MID(TEXT(A29,n0),9,1)*AND(MID(TEXT(A29,n0),8,1)-1),тыс,2),"")&amp;INDEX(n_4,MID(TEXT(A29,n0),10,1)+1)&amp;INDEX(IF(-MID(TEXT(A29,n0),14,6),n1x,n0x),MID(TEXT(A29,n0),11,1)+1,MID(TEXT(A29,n0),12,1)+1)),"z"," ")&amp;IF(TRUNC(TEXT(A29,n0)),,"Ноль ")&amp;IF(-MID(TEXT(A29,n0),14,6),IF(MOD(MAX(MOD(MID(TEXT(A29,n0),11,2)-11,100),9),10),"целых ","целая ")&amp;SUBSTITUTE(INDEX(n_4,MID(TEXT(A29,n0),14,6)/10^5+1)&amp;INDEX(n1x,MOD(MID(TEXT(A29,n0),14,6)/10^4,10)+1,MOD(MID(TEXT(A29,n0),14,6)/1000,10)+1)&amp;IF(INT(MID(TEXT(A29,n0),14,6)/1000),VLOOKUP(MOD(MID(TEXT(A29,n0),14,6)/1000,10)*(MOD(INT(MID(TEXT(A29,n0),14,6)/10^4),10)&lt;&gt;1),тыс,2),"")&amp;INDEX(n_4,MOD(MID(TEXT(A29,n0),14,6)/100,10)+1)&amp;INDEX(n1x,MOD(MID(TEXT(A29,n0),14,6)/10,10)+1,MOD(MID(TEXT(A29,n0),14,6),10)+1),"z"," ")&amp;INDEX(доля,LEN(MID(TEXT(A29,n0),14,6)),(MOD(MAX(MOD(MID(TEXT(A29,n0),14,6)-11,100),9),10)&gt;0)+1),)</f>
        <v>Восемьсот пятьдесят три тысячи девятьсот восемьдесят две целых пятьсот восемьдесят одна тысячная</v>
      </c>
      <c r="P29" s="5"/>
    </row>
    <row r="30" spans="1:16" x14ac:dyDescent="0.2">
      <c r="A30" s="11"/>
      <c r="B30" s="7"/>
    </row>
    <row r="31" spans="1:16" x14ac:dyDescent="0.2">
      <c r="A31" s="10" t="s">
        <v>25</v>
      </c>
      <c r="B31" s="13" t="s">
        <v>26</v>
      </c>
    </row>
    <row r="32" spans="1:16" x14ac:dyDescent="0.2">
      <c r="A32" s="10" t="s">
        <v>27</v>
      </c>
      <c r="B32" s="14">
        <f>LEN(B31)</f>
        <v>1463</v>
      </c>
    </row>
    <row r="33" spans="1:3" x14ac:dyDescent="0.2">
      <c r="A33" s="10" t="s">
        <v>28</v>
      </c>
      <c r="B33" s="13" t="s">
        <v>29</v>
      </c>
    </row>
    <row r="34" spans="1:3" x14ac:dyDescent="0.2">
      <c r="A34" s="10" t="s">
        <v>27</v>
      </c>
      <c r="B34" s="14">
        <f>LEN(B33)</f>
        <v>1355</v>
      </c>
    </row>
    <row r="35" spans="1:3" x14ac:dyDescent="0.2">
      <c r="B35" s="14"/>
    </row>
    <row r="36" spans="1:3" x14ac:dyDescent="0.2">
      <c r="A36" s="10" t="s">
        <v>30</v>
      </c>
      <c r="B36" s="15" t="s">
        <v>31</v>
      </c>
      <c r="C36" s="15" t="s">
        <v>32</v>
      </c>
    </row>
    <row r="37" spans="1:3" x14ac:dyDescent="0.2">
      <c r="B37" s="15" t="s">
        <v>33</v>
      </c>
      <c r="C37" s="15" t="s">
        <v>34</v>
      </c>
    </row>
    <row r="38" spans="1:3" x14ac:dyDescent="0.2">
      <c r="B38" s="15" t="s">
        <v>35</v>
      </c>
      <c r="C38" s="15" t="s">
        <v>36</v>
      </c>
    </row>
    <row r="39" spans="1:3" x14ac:dyDescent="0.2">
      <c r="B39" s="15" t="s">
        <v>37</v>
      </c>
      <c r="C39" s="15" t="s">
        <v>38</v>
      </c>
    </row>
    <row r="40" spans="1:3" x14ac:dyDescent="0.2">
      <c r="B40" s="15" t="s">
        <v>39</v>
      </c>
      <c r="C40" s="15" t="s">
        <v>40</v>
      </c>
    </row>
    <row r="41" spans="1:3" x14ac:dyDescent="0.2">
      <c r="B41" s="15" t="s">
        <v>41</v>
      </c>
      <c r="C41" s="15" t="s">
        <v>42</v>
      </c>
    </row>
    <row r="42" spans="1:3" x14ac:dyDescent="0.2">
      <c r="B42" s="15" t="s">
        <v>43</v>
      </c>
      <c r="C42" s="15" t="s">
        <v>44</v>
      </c>
    </row>
    <row r="43" spans="1:3" x14ac:dyDescent="0.2">
      <c r="B43" s="15" t="s">
        <v>45</v>
      </c>
      <c r="C43" s="15" t="s">
        <v>46</v>
      </c>
    </row>
    <row r="44" spans="1:3" x14ac:dyDescent="0.2">
      <c r="B44" s="15" t="s">
        <v>47</v>
      </c>
      <c r="C44" s="15" t="s">
        <v>48</v>
      </c>
    </row>
    <row r="45" spans="1:3" x14ac:dyDescent="0.2">
      <c r="B45" s="15" t="s">
        <v>49</v>
      </c>
      <c r="C45" s="15" t="s">
        <v>50</v>
      </c>
    </row>
    <row r="46" spans="1:3" x14ac:dyDescent="0.2">
      <c r="B46" s="15" t="s">
        <v>51</v>
      </c>
      <c r="C46" s="16" t="s">
        <v>52</v>
      </c>
    </row>
    <row r="48" spans="1:3" x14ac:dyDescent="0.2">
      <c r="C48" s="17"/>
    </row>
    <row r="49" spans="3:3" x14ac:dyDescent="0.2">
      <c r="C49" s="17"/>
    </row>
    <row r="50" spans="3:3" x14ac:dyDescent="0.2">
      <c r="C50" s="17"/>
    </row>
  </sheetData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MergeFields</vt:lpstr>
      <vt:lpstr>Числа_прописью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Yesman</cp:lastModifiedBy>
  <dcterms:created xsi:type="dcterms:W3CDTF">2015-06-05T18:19:34Z</dcterms:created>
  <dcterms:modified xsi:type="dcterms:W3CDTF">2018-03-10T13:29:21Z</dcterms:modified>
</cp:coreProperties>
</file>